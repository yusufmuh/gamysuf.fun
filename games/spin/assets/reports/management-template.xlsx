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dc19fd2e514f4e" /></Relationships>
</file>

<file path=xl/workbook.xml><?xml version="1.0" encoding="utf-8"?>
<x:workbook xmlns:x="http://schemas.openxmlformats.org/spreadsheetml/2006/main">
  <x:sheets>
    <x:sheet xmlns:r="http://schemas.openxmlformats.org/officeDocument/2006/relationships" name="Dashboard" sheetId="1" r:id="Rbb4c66c60f1c4e64"/>
    <x:sheet xmlns:r="http://schemas.openxmlformats.org/officeDocument/2006/relationships" name="Rekomendasi" sheetId="2" r:id="R9a5bb188a1a14c7e"/>
    <x:sheet xmlns:r="http://schemas.openxmlformats.org/officeDocument/2006/relationships" name="Rencana Acara" sheetId="3" r:id="Rf084884eb1294fbb"/>
    <x:sheet xmlns:r="http://schemas.openxmlformats.org/officeDocument/2006/relationships" name="Inventori" sheetId="4" r:id="R3c96fb5f95ce4185"/>
    <x:sheet xmlns:r="http://schemas.openxmlformats.org/officeDocument/2006/relationships" name="Data Permainan" sheetId="5" r:id="Rfbede5a971be49e1"/>
    <x:sheet xmlns:r="http://schemas.openxmlformats.org/officeDocument/2006/relationships" name="Ringkasan" sheetId="6" r:id="R862121c6f6834bbb"/>
    <x:sheet xmlns:r="http://schemas.openxmlformats.org/officeDocument/2006/relationships" name="Panduan" sheetId="7" r:id="Re2998616e5604c90"/>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dd mmm yyyy"/>
    <x:numFmt numFmtId="201" formatCode="0.0%"/>
    <x:numFmt numFmtId="202" formatCode="0%"/>
    <x:numFmt numFmtId="203" formatCode="0"/>
    <x:numFmt numFmtId="204" formatCode="&quot;Rp&quot; #,##0"/>
    <x:numFmt numFmtId="205" formatCode="0.00%"/>
    <x:numFmt numFmtId="206" formatCode="#,##0"/>
    <x:numFmt numFmtId="207" formatCode="@"/>
    <x:numFmt numFmtId="208" formatCode="dd mmm yyyy hh:mm:ss"/>
    <x:numFmt numFmtId="209" formatCode="0.0"/>
  </x:numFmts>
  <x:fonts count="11">
    <x:font>
      <x:sz val="11"/>
      <x:name val="Carlito"/>
    </x:font>
    <x:font>
      <x:sz val="10"/>
      <x:color rgb="FF392C32"/>
      <x:name val="Arial"/>
    </x:font>
    <x:font>
      <x:b/>
      <x:sz val="19"/>
      <x:color rgb="FFFFFFFF"/>
      <x:name val="Arial"/>
    </x:font>
    <x:font>
      <x:sz val="10"/>
      <x:color rgb="FF77646E"/>
      <x:name val="Arial"/>
    </x:font>
    <x:font>
      <x:b/>
      <x:sz val="10"/>
      <x:color rgb="FFFFFFFF"/>
      <x:name val="Arial"/>
    </x:font>
    <x:font>
      <x:b/>
      <x:sz val="10"/>
      <x:color rgb="FF193F70"/>
      <x:name val="Arial"/>
    </x:font>
    <x:font>
      <x:sz val="9"/>
      <x:color rgb="FF77646E"/>
      <x:name val="Arial"/>
    </x:font>
    <x:font>
      <x:b/>
      <x:sz val="32"/>
      <x:color rgb="FF9F3557"/>
      <x:name val="Arial"/>
    </x:font>
    <x:font>
      <x:b/>
      <x:sz val="10"/>
      <x:color rgb="FF9F3557"/>
      <x:name val="Arial"/>
    </x:font>
    <x:font>
      <x:sz val="11"/>
      <x:color rgb="FF392C32"/>
      <x:name val="Arial"/>
    </x:font>
    <x:font>
      <x:b/>
      <x:sz val="22"/>
      <x:color rgb="FF9F3557"/>
      <x:name val="Arial"/>
    </x:font>
  </x:fonts>
  <x:fills count="7">
    <x:fill>
      <x:patternFill patternType="none"/>
    </x:fill>
    <x:fill>
      <x:patternFill patternType="gray125"/>
    </x:fill>
    <x:fill>
      <x:patternFill patternType="solid">
        <x:fgColor rgb="FFFFFFFF"/>
      </x:patternFill>
    </x:fill>
    <x:fill>
      <x:patternFill patternType="solid">
        <x:fgColor rgb="FF9F3557"/>
      </x:patternFill>
    </x:fill>
    <x:fill>
      <x:patternFill patternType="solid">
        <x:fgColor rgb="FFFCF9F5"/>
      </x:patternFill>
    </x:fill>
    <x:fill>
      <x:patternFill patternType="solid">
        <x:fgColor rgb="FFFFF0CC"/>
      </x:patternFill>
    </x:fill>
    <x:fill>
      <x:patternFill patternType="solid">
        <x:fgColor rgb="FFF5E7E9"/>
      </x:patternFill>
    </x:fill>
  </x:fills>
  <x:borders count="1">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4"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200" fontId="5" fillId="5"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1" fillId="6" borderId="0" xfId="0" applyNumberFormat="1" applyFont="1" applyFill="1" applyBorder="1" applyAlignment="1">
      <x:alignment horizontal="center" vertical="center"/>
    </x:xf>
    <x:xf numFmtId="0" fontId="7" fillId="6" borderId="0" xfId="0" applyNumberFormat="1" applyFont="1" applyFill="1" applyBorder="1" applyAlignment="1">
      <x:alignment horizontal="center" vertical="center"/>
    </x:xf>
    <x:xf numFmtId="201" fontId="7" fillId="6" borderId="0" xfId="0" applyNumberFormat="1" applyFont="1" applyFill="1" applyBorder="1" applyAlignment="1">
      <x:alignment horizontal="center" vertical="center"/>
    </x:xf>
    <x:xf numFmtId="201" fontId="1"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9" fillId="6" borderId="0" xfId="0" applyNumberFormat="1" applyFont="1" applyFill="1" applyBorder="1" applyAlignment="1">
      <x:alignment vertical="center"/>
    </x:xf>
    <x:xf numFmtId="0" fontId="9" fillId="6" borderId="0" xfId="0" applyNumberFormat="1" applyFont="1" applyFill="1" applyBorder="1" applyAlignment="1">
      <x:alignment vertical="center" wrapText="1"/>
    </x:xf>
    <x:xf numFmtId="202" fontId="5"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203" fontId="5" fillId="5" borderId="0" xfId="0" applyNumberFormat="1" applyFont="1" applyFill="1" applyBorder="1" applyAlignment="1">
      <x:alignment vertical="center"/>
    </x:xf>
    <x:xf numFmtId="0" fontId="10" fillId="6" borderId="0" xfId="0" applyNumberFormat="1" applyFont="1" applyFill="1" applyBorder="1" applyAlignment="1">
      <x:alignment vertical="center"/>
    </x:xf>
    <x:xf numFmtId="0" fontId="10" fillId="6" borderId="0" xfId="0" applyNumberFormat="1" applyFont="1" applyFill="1" applyBorder="1" applyAlignment="1">
      <x:alignment horizontal="center" vertical="center"/>
    </x:xf>
    <x:xf numFmtId="204" fontId="10" fillId="6" borderId="0" xfId="0" applyNumberFormat="1" applyFont="1" applyFill="1" applyBorder="1" applyAlignment="1">
      <x:alignment horizontal="center" vertical="center"/>
    </x:xf>
    <x:xf numFmtId="205" fontId="1" fillId="2" borderId="0" xfId="0" applyNumberFormat="1" applyFont="1" applyFill="1" applyBorder="1" applyAlignment="1">
      <x:alignment vertical="center" wrapText="1"/>
    </x:xf>
    <x:xf numFmtId="206" fontId="5" fillId="5" borderId="0" xfId="0" applyNumberFormat="1" applyFont="1" applyFill="1" applyBorder="1" applyAlignment="1">
      <x:alignment vertical="center" wrapText="1"/>
    </x:xf>
    <x:xf numFmtId="206" fontId="1" fillId="2" borderId="0" xfId="0" applyNumberFormat="1" applyFont="1" applyFill="1" applyBorder="1" applyAlignment="1">
      <x:alignment vertical="center" wrapText="1"/>
    </x:xf>
    <x:xf numFmtId="207" fontId="1" fillId="2" borderId="0" xfId="0" applyNumberFormat="1" applyFont="1" applyFill="1" applyBorder="1" applyAlignment="1">
      <x:alignment vertical="center" wrapText="1"/>
    </x:xf>
    <x:xf numFmtId="208" fontId="1" fillId="2" borderId="0" xfId="0" applyNumberFormat="1" applyFont="1" applyFill="1" applyBorder="1" applyAlignment="1">
      <x:alignment vertical="center" wrapText="1"/>
    </x:xf>
    <x:xf numFmtId="209"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x:xf>
  </x:cellXfs>
  <x:cellStyles count="1">
    <x:cellStyle name="Normal" xfId="0"/>
  </x:cellStyles>
  <x:dxfs count="2">
    <x:dxf>
      <x:font>
        <x:b/>
        <x:color rgb="FFA12540"/>
      </x:font>
      <x:fill>
        <x:patternFill patternType="solid">
          <x:bgColor rgb="FFF7D9DC"/>
        </x:patternFill>
      </x:fill>
    </x:dxf>
    <x:dxf>
      <x:font>
        <x:b/>
        <x:color rgb="FFA12540"/>
      </x:font>
      <x:fill>
        <x:patternFill patternType="solid">
          <x:bgColor rgb="FFF7D9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24995960de4675" /><Relationship Type="http://schemas.openxmlformats.org/officeDocument/2006/relationships/theme" Target="/xl/theme/theme1.xml" Id="R79fb9e6c85e1439d" /><Relationship Type="http://schemas.microsoft.com/office/2022/11/relationships/FeaturePropertyBag" Target="/xl/featurePropertyBag/featurePropertyBag.xml" Id="R04895342ba5545fb" /><Relationship Type="http://schemas.openxmlformats.org/officeDocument/2006/relationships/sharedStrings" Target="/xl/sharedStrings.xml" Id="Re4f8d457abe2427f" /><Relationship Type="http://schemas.openxmlformats.org/officeDocument/2006/relationships/worksheet" Target="/xl/worksheets/sheet1.xml" Id="Rbb4c66c60f1c4e64" /><Relationship Type="http://schemas.openxmlformats.org/officeDocument/2006/relationships/worksheet" Target="/xl/worksheets/sheet2.xml" Id="R9a5bb188a1a14c7e" /><Relationship Type="http://schemas.openxmlformats.org/officeDocument/2006/relationships/worksheet" Target="/xl/worksheets/sheet3.xml" Id="Rf084884eb1294fbb" /><Relationship Type="http://schemas.openxmlformats.org/officeDocument/2006/relationships/worksheet" Target="/xl/worksheets/sheet4.xml" Id="R3c96fb5f95ce4185" /><Relationship Type="http://schemas.openxmlformats.org/officeDocument/2006/relationships/worksheet" Target="/xl/worksheets/sheet5.xml" Id="Rfbede5a971be49e1" /><Relationship Type="http://schemas.openxmlformats.org/officeDocument/2006/relationships/worksheet" Target="/xl/worksheets/sheet6.xml" Id="R862121c6f6834bbb" /><Relationship Type="http://schemas.openxmlformats.org/officeDocument/2006/relationships/worksheet" Target="/xl/worksheets/sheet7.xml" Id="Re2998616e5604c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20ec012e016041cd" /><Relationship Type="http://schemas.openxmlformats.org/officeDocument/2006/relationships/chart" Target="/xl/drawings/charts/chart2.xml" Id="Re91abeba98504e58" /><Relationship Type="http://schemas.openxmlformats.org/officeDocument/2006/relationships/chart" Target="/xl/drawings/charts/chart3.xml" Id="Reed445a90fa542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Permainan per jam · akumulasi periode</a:t>
            </a:r>
          </a:p>
        </c:rich>
      </c:tx>
      <c:overlay val="0"/>
      <c:txPr>
        <a:bodyPr xmlns:a="http://schemas.openxmlformats.org/drawingml/2006/main" anchorCtr="1"/>
        <a:lstStyle xmlns:a="http://schemas.openxmlformats.org/drawingml/2006/main"/>
        <a:p xmlns:a="http://schemas.openxmlformats.org/drawingml/2006/main">
          <a:pPr>
            <a:defRPr sz="825"/>
          </a:pPr>
        </a:p>
      </c:txPr>
    </c:title>
    <c:plotArea>
      <c:lineChart>
        <c:grouping val="standard"/>
        <c:varyColors val="0"/>
        <c:ser>
          <c:idx val="0"/>
          <c:order val="0"/>
          <c:tx>
            <c:v>Spin &amp; Win</c:v>
          </c:tx>
          <c:spPr>
            <a:solidFill xmlns:a="http://schemas.openxmlformats.org/drawingml/2006/main">
              <a:srgbClr val="9F3557"/>
            </a:solidFill>
          </c:spPr>
          <c:marker>
            <c:symbol val="none"/>
          </c:marker>
          <c:cat>
            <c:strRef>
              <c:f>'Ringkasan'!$H$19:$H$42</c:f>
              <c:strCache>
                <c:ptCount val="0"/>
              </c:strCache>
            </c:strRef>
          </c:cat>
          <c:val>
            <c:numRef>
              <c:f>'Ringkasan'!$I$19:$I$42</c:f>
              <c:numCache>
                <c:formatCode>0</c:formatCode>
                <c:ptCount val="0"/>
              </c:numCache>
            </c:numRef>
          </c:val>
          <c:smooth val="0"/>
        </c:ser>
        <c:ser>
          <c:idx val="1"/>
          <c:order val="1"/>
          <c:tx>
            <c:v>Beauty Box</c:v>
          </c:tx>
          <c:spPr>
            <a:solidFill xmlns:a="http://schemas.openxmlformats.org/drawingml/2006/main">
              <a:srgbClr val="B48945"/>
            </a:solidFill>
          </c:spPr>
          <c:marker>
            <c:symbol val="none"/>
          </c:marker>
          <c:cat>
            <c:strRef>
              <c:f>'Ringkasan'!$H$19:$H$42</c:f>
              <c:strCache>
                <c:ptCount val="0"/>
              </c:strCache>
            </c:strRef>
          </c:cat>
          <c:val>
            <c:numRef>
              <c:f>'Ringkasan'!$J$19:$J$42</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Jumlah hasil per kategori</a:t>
            </a:r>
          </a:p>
        </c:rich>
      </c:tx>
      <c:overlay val="0"/>
      <c:txPr>
        <a:bodyPr xmlns:a="http://schemas.openxmlformats.org/drawingml/2006/main" anchorCtr="1"/>
        <a:lstStyle xmlns:a="http://schemas.openxmlformats.org/drawingml/2006/main"/>
        <a:p xmlns:a="http://schemas.openxmlformats.org/drawingml/2006/main">
          <a:pPr>
            <a:defRPr sz="825"/>
          </a:pPr>
        </a:p>
      </c:txPr>
    </c:title>
    <c:plotArea>
      <c:barChart>
        <c:barDir val="col"/>
        <c:varyColors val="0"/>
        <c:ser>
          <c:idx val="0"/>
          <c:order val="0"/>
          <c:tx>
            <c:v>Hasil</c:v>
          </c:tx>
          <c:spPr>
            <a:solidFill xmlns:a="http://schemas.openxmlformats.org/drawingml/2006/main">
              <a:srgbClr val="9F3557"/>
            </a:solidFill>
          </c:spPr>
          <c:cat>
            <c:strRef>
              <c:f>'Ringkasan'!$H$10:$H$14</c:f>
              <c:strCache>
                <c:ptCount val="0"/>
              </c:strCache>
            </c:strRef>
          </c:cat>
          <c:val>
            <c:numRef>
              <c:f>'Ringkasan'!$I$10:$I$14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Jumlah permainan</a:t>
            </a:r>
          </a:p>
        </c:rich>
      </c:tx>
      <c:overlay val="0"/>
      <c:txPr>
        <a:bodyPr xmlns:a="http://schemas.openxmlformats.org/drawingml/2006/main" anchorCtr="1"/>
        <a:lstStyle xmlns:a="http://schemas.openxmlformats.org/drawingml/2006/main"/>
        <a:p xmlns:a="http://schemas.openxmlformats.org/drawingml/2006/main">
          <a:pPr>
            <a:defRPr sz="825"/>
          </a:pPr>
        </a:p>
      </c:txPr>
    </c:title>
    <c:plotArea>
      <c:barChart>
        <c:barDir val="col"/>
        <c:varyColors val="0"/>
        <c:ser>
          <c:idx val="0"/>
          <c:order val="0"/>
          <c:tx>
            <c:v>Permainan</c:v>
          </c:tx>
          <c:spPr>
            <a:solidFill xmlns:a="http://schemas.openxmlformats.org/drawingml/2006/main">
              <a:srgbClr val="B48945"/>
            </a:solidFill>
          </c:spPr>
          <c:cat>
            <c:strRef>
              <c:f>'Ringkasan'!$H$5:$H$6</c:f>
              <c:strCache>
                <c:ptCount val="0"/>
              </c:strCache>
            </c:strRef>
          </c:cat>
          <c:val>
            <c:numRef>
              <c:f>'Ringkasan'!$I$5:$I$6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ec012e016041cd"/>
        </a:graphicData>
      </a:graphic>
    </xdr:graphicFrame>
    <xdr:clientData/>
  </xdr:twoCellAnchor>
  <xdr:twoCellAnchor>
    <xdr:from>
      <xdr:col>0</xdr:col>
      <xdr:colOff>0</xdr:colOff>
      <xdr:row>31</xdr:row>
      <xdr:rowOff>0</xdr:rowOff>
    </xdr:from>
    <xdr:to>
      <xdr:col>7</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1abeba98504e58"/>
        </a:graphicData>
      </a:graphic>
    </xdr:graphicFrame>
    <xdr:clientData/>
  </xdr:twoCellAnchor>
  <xdr:twoCellAnchor>
    <xdr:from>
      <xdr:col>7</xdr:col>
      <xdr:colOff>0</xdr:colOff>
      <xdr:row>31</xdr:row>
      <xdr:rowOff>0</xdr:rowOff>
    </xdr:from>
    <xdr:to>
      <xdr:col>12</xdr:col>
      <xdr:colOff>0</xdr:colOff>
      <xdr:row>42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d445a90fa5420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ncanaBooth" displayName="RencanaBooth" ref="A13:L28" headerRowCount="1" totalsRowCount="0" totalsRowShown="0">
  <x:autoFilter ref="A13:L28"/>
  <x:tableColumns count="12">
    <x:tableColumn id="1" name="ID hadiah"/>
    <x:tableColumn id="2" name="Nama hadiah asli"/>
    <x:tableColumn id="3" name="Kategori"/>
    <x:tableColumn id="4" name="Stok kini"/>
    <x:tableColumn id="5" name="Peluang saat ekspor"/>
    <x:tableColumn id="6" name="Keluar sesuai filter"/>
    <x:tableColumn id="7" name="Porsi rencana"/>
    <x:tableColumn id="8" name="Rencana unit"/>
    <x:tableColumn id="9" name="Tambahan unit"/>
    <x:tableColumn id="10" name="Biaya riil/unit (Rp)"/>
    <x:tableColumn id="11" name="Biaya skenario (Rp)"/>
    <x:tableColumn id="12" name="Catatan"/>
  </x:tableColumns>
  <x:tableStyleInfo name="TableStyleLight1" showFirstColumn="0" showLastColumn="0" showRowStripes="1" showColumnStripes="0"/>
</x:table>
</file>

<file path=xl/tables/table2.xml><?xml version="1.0" encoding="utf-8"?>
<x:table xmlns:x="http://schemas.openxmlformats.org/spreadsheetml/2006/main" id="2" name="InventoriBooth" displayName="InventoriBooth" ref="A5:L20" headerRowCount="1" totalsRowCount="0" totalsRowShown="0">
  <x:autoFilter ref="A5:L20"/>
  <x:tableColumns count="12">
    <x:tableColumn id="1" name="ID hadiah"/>
    <x:tableColumn id="2" name="Nama hadiah asli"/>
    <x:tableColumn id="3" name="Kategori"/>
    <x:tableColumn id="4" name="Stok saat ekspor"/>
    <x:tableColumn id="5" name="Aktif"/>
    <x:tableColumn id="6" name="Catatan foto"/>
    <x:tableColumn id="7" name="Varian / syarat"/>
    <x:tableColumn id="8" name="Diskon"/>
    <x:tableColumn id="9" name="Satuan diskon"/>
    <x:tableColumn id="10" name="Minimum belanja (Rp)"/>
    <x:tableColumn id="11" name="Catatan barang"/>
    <x:tableColumn id="12" name="Foto lokal"/>
  </x:tableColumns>
  <x:tableStyleInfo name="TableStyleLight1" showFirstColumn="0" showLastColumn="0" showRowStripes="1" showColumnStripes="0"/>
</x:table>
</file>

<file path=xl/tables/table3.xml><?xml version="1.0" encoding="utf-8"?>
<x:table xmlns:x="http://schemas.openxmlformats.org/spreadsheetml/2006/main" id="3" name="RiwayatBooth" displayName="RiwayatBooth" ref="A5:Q6" headerRowCount="1" totalsRowCount="0" totalsRowShown="0">
  <x:autoFilter ref="A5:Q6"/>
  <x:tableColumns count="17">
    <x:tableColumn id="1" name="Kode"/>
    <x:tableColumn id="2" name="Waktu lokal"/>
    <x:tableColumn id="3" name="Permainan"/>
    <x:tableColumn id="4" name="ID hadiah"/>
    <x:tableColumn id="5" name="Nama hadiah asli"/>
    <x:tableColumn id="6" name="Kategori"/>
    <x:tableColumn id="7" name="Status saat ekspor"/>
    <x:tableColumn id="8" name="Unit keluar"/>
    <x:tableColumn id="9" name="Unit diserahkan"/>
    <x:tableColumn id="10" name="Jam lokal"/>
    <x:tableColumn id="11" name="Peluang kategori"/>
    <x:tableColumn id="12" name="Durasi (detik)"/>
    <x:tableColumn id="13" name="Nilai diskon"/>
    <x:tableColumn id="14" name="Satuan diskon"/>
    <x:tableColumn id="15" name="Min. belanja (Rp)"/>
    <x:tableColumn id="16" name="Waktu penyerahan"/>
    <x:tableColumn id="17" name="Waktu sumber (ISO)"/>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8fe5c3143d547e5" /></Relationships>
</file>

<file path=xl/worksheets/_rels/sheet3.xml.rels>&#65279;<?xml version="1.0" encoding="utf-8"?><Relationships xmlns="http://schemas.openxmlformats.org/package/2006/relationships"><Relationship Type="http://schemas.openxmlformats.org/officeDocument/2006/relationships/table" Target="/xl/tables/table1.xml" Id="R3a8ad1b885c5469b" /></Relationships>
</file>

<file path=xl/worksheets/_rels/sheet4.xml.rels>&#65279;<?xml version="1.0" encoding="utf-8"?><Relationships xmlns="http://schemas.openxmlformats.org/package/2006/relationships"><Relationship Type="http://schemas.openxmlformats.org/officeDocument/2006/relationships/table" Target="/xl/tables/table2.xml" Id="Re23d139677864126" /></Relationships>
</file>

<file path=xl/worksheets/_rels/sheet5.xml.rels>&#65279;<?xml version="1.0" encoding="utf-8"?><Relationships xmlns="http://schemas.openxmlformats.org/package/2006/relationships"><Relationship Type="http://schemas.openxmlformats.org/officeDocument/2006/relationships/table" Target="/xl/tables/table3.xml" Id="R9f08cee0a475468d"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48" customHeight="1">
      <x:c r="A1" s="5" t="str">
        <x:v>BPEDIA / EVENT PERFORMANCE</x:v>
      </x:c>
      <x:c r="B1" s="5"/>
      <x:c r="C1" s="5"/>
      <x:c r="D1" s="5"/>
      <x:c r="E1" s="5"/>
      <x:c r="F1" s="5"/>
      <x:c r="G1" s="5"/>
      <x:c r="H1" s="5"/>
      <x:c r="I1" s="5"/>
      <x:c r="J1" s="5"/>
      <x:c r="K1" s="5"/>
      <x:c r="L1" s="5"/>
    </x:row>
    <x:row r="2" ht="23" customHeight="1">
      <x:c r="A2" s="13"/>
      <x:c r="B2" s="13"/>
      <x:c r="C2" s="13"/>
      <x:c r="D2" s="13"/>
      <x:c r="E2" s="13"/>
      <x:c r="F2" s="13"/>
      <x:c r="G2" s="13"/>
      <x:c r="H2" s="13"/>
      <x:c r="I2" s="13"/>
      <x:c r="J2" s="13"/>
      <x:c r="K2" s="13"/>
      <x:c r="L2" s="13"/>
    </x:row>
    <x:row r="3" ht="38" customHeight="1">
      <x:c r="A3" s="14" t="str">
        <x:v>Laporan manajemen · snapshot lokal · hanya hasil mode permainan</x:v>
      </x:c>
      <x:c r="B3" s="14"/>
      <x:c r="C3" s="14"/>
      <x:c r="D3" s="14"/>
      <x:c r="E3" s="14"/>
      <x:c r="F3" s="14"/>
      <x:c r="G3" s="14"/>
      <x:c r="H3" s="14"/>
      <x:c r="I3" s="14"/>
      <x:c r="J3" s="14"/>
      <x:c r="K3" s="14"/>
      <x:c r="L3" s="14"/>
    </x:row>
    <x:row r="4" ht="23" customHeight="1">
      <x:c r="A4" s="13" t="str">
        <x:v>Dari tanggal</x:v>
      </x:c>
      <x:c r="B4" s="13"/>
      <x:c r="C4" s="13"/>
      <x:c r="D4" s="13"/>
      <x:c r="E4" s="13" t="str">
        <x:v>Sampai tanggal</x:v>
      </x:c>
      <x:c r="F4" s="13"/>
      <x:c r="G4" s="13"/>
      <x:c r="H4" s="13"/>
      <x:c r="I4" s="13" t="str">
        <x:v>Permainan</x:v>
      </x:c>
      <x:c r="J4" s="13"/>
      <x:c r="K4" s="13"/>
      <x:c r="L4" s="13"/>
    </x:row>
    <x:row r="5" ht="30" customHeight="1">
      <x:c r="A5" s="17" t="n">
        <x:v>46262</x:v>
      </x:c>
      <x:c r="B5" s="17"/>
      <x:c r="C5" s="17"/>
      <x:c r="D5" s="13"/>
      <x:c r="E5" s="17" t="n">
        <x:v>46262</x:v>
      </x:c>
      <x:c r="F5" s="17"/>
      <x:c r="G5" s="17"/>
      <x:c r="H5" s="13"/>
      <x:c r="I5" s="16" t="str">
        <x:v>Semua</x:v>
      </x:c>
      <x:c r="J5" s="16"/>
      <x:c r="K5" s="16"/>
      <x:c r="L5" s="16"/>
    </x:row>
    <x:row r="6" ht="23" customHeight="1">
      <x:c r="A6" s="13"/>
      <x:c r="B6" s="13"/>
      <x:c r="C6" s="13"/>
      <x:c r="D6" s="13"/>
      <x:c r="E6" s="13"/>
      <x:c r="F6" s="13"/>
      <x:c r="G6" s="13"/>
      <x:c r="H6" s="13"/>
      <x:c r="I6" s="13"/>
      <x:c r="J6" s="13"/>
      <x:c r="K6" s="13"/>
      <x:c r="L6" s="13"/>
    </x:row>
    <x:row r="7" ht="30" customHeight="1">
      <x:c r="A7" s="19" t="str">
        <x:f>IF('Ringkasan'!B2,"Ubah sel berwarna krem untuk memfilter laporan. Stok kini selalu mengikuti snapshot ekspor.","Perbaiki filter tanggal: tanggal awal harus sebelum/sama dengan tanggal akhir.")</x:f>
        <x:v>Ubah sel berwarna krem untuk memfilter laporan. Stok kini selalu mengikuti snapshot ekspor.</x:v>
      </x:c>
      <x:c r="B7" s="19"/>
      <x:c r="C7" s="19"/>
      <x:c r="D7" s="19"/>
      <x:c r="E7" s="19"/>
      <x:c r="F7" s="19"/>
      <x:c r="G7" s="19"/>
      <x:c r="H7" s="19"/>
      <x:c r="I7" s="19"/>
      <x:c r="J7" s="19"/>
      <x:c r="K7" s="19"/>
      <x:c r="L7" s="19"/>
    </x:row>
    <x:row r="8" ht="23" customHeight="1">
      <x:c r="A8" s="13"/>
      <x:c r="B8" s="13"/>
      <x:c r="C8" s="13"/>
      <x:c r="D8" s="13"/>
      <x:c r="E8" s="13"/>
      <x:c r="F8" s="13"/>
      <x:c r="G8" s="13"/>
      <x:c r="H8" s="13"/>
      <x:c r="I8" s="13"/>
      <x:c r="J8" s="13"/>
      <x:c r="K8" s="13"/>
      <x:c r="L8" s="13"/>
    </x:row>
    <x:row r="9" ht="23" customHeight="1">
      <x:c r="A9" s="21" t="str">
        <x:v>Permainan tersimpan</x:v>
      </x:c>
      <x:c r="B9" s="21"/>
      <x:c r="C9" s="21"/>
      <x:c r="D9" s="21" t="str">
        <x:v>Hadiah dikeluarkan</x:v>
      </x:c>
      <x:c r="E9" s="21"/>
      <x:c r="F9" s="21"/>
      <x:c r="G9" s="21" t="str">
        <x:v>Tingkat penyerahan</x:v>
      </x:c>
      <x:c r="H9" s="21"/>
      <x:c r="I9" s="21"/>
      <x:c r="J9" s="21" t="str">
        <x:v>Stok saat ekspor</x:v>
      </x:c>
      <x:c r="K9" s="21"/>
      <x:c r="L9" s="21"/>
    </x:row>
    <x:row r="10" ht="23" customHeight="1">
      <x:c r="A10" s="22" t="n">
        <x:f>'Ringkasan'!B5</x:f>
        <x:v>0</x:v>
      </x:c>
      <x:c r="B10" s="22"/>
      <x:c r="C10" s="22"/>
      <x:c r="D10" s="22" t="n">
        <x:f>'Ringkasan'!B6</x:f>
        <x:v>0</x:v>
      </x:c>
      <x:c r="E10" s="22"/>
      <x:c r="F10" s="22"/>
      <x:c r="G10" s="23" t="n">
        <x:f>'Ringkasan'!B10</x:f>
        <x:v>0</x:v>
      </x:c>
      <x:c r="H10" s="22"/>
      <x:c r="I10" s="22"/>
      <x:c r="J10" s="22" t="n">
        <x:f>'Ringkasan'!B12</x:f>
        <x:v>266</x:v>
      </x:c>
      <x:c r="K10" s="22"/>
      <x:c r="L10" s="22"/>
    </x:row>
    <x:row r="11" ht="23" customHeight="1">
      <x:c r="A11" s="22"/>
      <x:c r="B11" s="22"/>
      <x:c r="C11" s="22"/>
      <x:c r="D11" s="22"/>
      <x:c r="E11" s="22"/>
      <x:c r="F11" s="22"/>
      <x:c r="G11" s="22"/>
      <x:c r="H11" s="22"/>
      <x:c r="I11" s="22"/>
      <x:c r="J11" s="22"/>
      <x:c r="K11" s="22"/>
      <x:c r="L11" s="22"/>
    </x:row>
    <x:row r="12" ht="23" customHeight="1">
      <x:c r="A12" s="22"/>
      <x:c r="B12" s="22"/>
      <x:c r="C12" s="22"/>
      <x:c r="D12" s="22"/>
      <x:c r="E12" s="22"/>
      <x:c r="F12" s="22"/>
      <x:c r="G12" s="22"/>
      <x:c r="H12" s="22"/>
      <x:c r="I12" s="22"/>
      <x:c r="J12" s="22"/>
      <x:c r="K12" s="22"/>
      <x:c r="L12" s="22"/>
    </x:row>
    <x:row r="13" ht="23" customHeight="1">
      <x:c r="A13" s="13"/>
      <x:c r="B13" s="13"/>
      <x:c r="C13" s="13"/>
      <x:c r="D13" s="13"/>
      <x:c r="E13" s="13"/>
      <x:c r="F13" s="13"/>
      <x:c r="G13" s="13"/>
      <x:c r="H13" s="13"/>
      <x:c r="I13" s="13"/>
      <x:c r="J13" s="13"/>
      <x:c r="K13" s="13"/>
      <x:c r="L13" s="13"/>
    </x:row>
    <x:row r="14" ht="23" customHeight="1">
      <x:c r="A14" s="13" t="str">
        <x:v>Belum diserahkan</x:v>
      </x:c>
      <x:c r="B14" s="13"/>
      <x:c r="C14" s="13" t="n">
        <x:f>'Ringkasan'!B8</x:f>
        <x:v>0</x:v>
      </x:c>
      <x:c r="D14" s="13"/>
      <x:c r="E14" s="13" t="str">
        <x:v>Hasil zonk</x:v>
      </x:c>
      <x:c r="F14" s="13"/>
      <x:c r="G14" s="13" t="n">
        <x:f>'Ringkasan'!B9</x:f>
        <x:v>0</x:v>
      </x:c>
      <x:c r="H14" s="13"/>
      <x:c r="I14" s="13" t="str">
        <x:v>Rasio zonk</x:v>
      </x:c>
      <x:c r="J14" s="13"/>
      <x:c r="K14" s="24" t="n">
        <x:f>'Ringkasan'!B11</x:f>
        <x:v>0</x:v>
      </x:c>
      <x:c r="L14" s="13"/>
    </x:row>
    <x:row r="15" ht="23" customHeight="1">
      <x:c r="A15" s="13"/>
      <x:c r="B15" s="13"/>
      <x:c r="C15" s="13"/>
      <x:c r="D15" s="13"/>
      <x:c r="E15" s="13"/>
      <x:c r="F15" s="13"/>
      <x:c r="G15" s="13"/>
      <x:c r="H15" s="13"/>
      <x:c r="I15" s="13"/>
      <x:c r="J15" s="13"/>
      <x:c r="K15" s="13"/>
      <x:c r="L15" s="13"/>
    </x:row>
    <x:row r="16" ht="30" customHeight="1">
      <x:c r="A16" s="25" t="str">
        <x:v>AKTIVITAS MENURUT JAM LOKAL · jumlah permainan dalam periode terpilih</x:v>
      </x:c>
      <x:c r="B16" s="25"/>
      <x:c r="C16" s="25"/>
      <x:c r="D16" s="25"/>
      <x:c r="E16" s="25"/>
      <x:c r="F16" s="25"/>
      <x:c r="G16" s="25"/>
      <x:c r="H16" s="25"/>
      <x:c r="I16" s="25"/>
      <x:c r="J16" s="25"/>
      <x:c r="K16" s="25"/>
      <x:c r="L16" s="25"/>
    </x:row>
    <x:row r="17" ht="23" customHeight="1">
      <x:c r="A17" s="13"/>
      <x:c r="B17" s="13"/>
      <x:c r="C17" s="13"/>
      <x:c r="D17" s="13"/>
      <x:c r="E17" s="13"/>
      <x:c r="F17" s="13"/>
      <x:c r="G17" s="13"/>
      <x:c r="H17" s="13"/>
      <x:c r="I17" s="13"/>
      <x:c r="J17" s="13"/>
      <x:c r="K17" s="13"/>
      <x:c r="L17" s="13"/>
    </x:row>
    <x:row r="18" ht="23" customHeight="1">
      <x:c r="A18" s="13"/>
      <x:c r="B18" s="13"/>
      <x:c r="C18" s="13"/>
      <x:c r="D18" s="13"/>
      <x:c r="E18" s="13"/>
      <x:c r="F18" s="13"/>
      <x:c r="G18" s="13"/>
      <x:c r="H18" s="13"/>
      <x:c r="I18" s="13"/>
      <x:c r="J18" s="13"/>
      <x:c r="K18" s="13"/>
      <x:c r="L18" s="13"/>
    </x:row>
    <x:row r="19" ht="23" customHeight="1">
      <x:c r="A19" s="13"/>
      <x:c r="B19" s="13"/>
      <x:c r="C19" s="13"/>
      <x:c r="D19" s="13"/>
      <x:c r="E19" s="13"/>
      <x:c r="F19" s="13"/>
      <x:c r="G19" s="13"/>
      <x:c r="H19" s="13"/>
      <x:c r="I19" s="13"/>
      <x:c r="J19" s="13"/>
      <x:c r="K19" s="13"/>
      <x:c r="L19" s="13"/>
    </x:row>
    <x:row r="20" ht="23" customHeight="1">
      <x:c r="A20" s="13"/>
      <x:c r="B20" s="13"/>
      <x:c r="C20" s="13"/>
      <x:c r="D20" s="13"/>
      <x:c r="E20" s="13"/>
      <x:c r="F20" s="13"/>
      <x:c r="G20" s="13"/>
      <x:c r="H20" s="13"/>
      <x:c r="I20" s="13"/>
      <x:c r="J20" s="13"/>
      <x:c r="K20" s="13"/>
      <x:c r="L20" s="13"/>
    </x:row>
    <x:row r="21" ht="23" customHeight="1">
      <x:c r="A21" s="13"/>
      <x:c r="B21" s="13"/>
      <x:c r="C21" s="13"/>
      <x:c r="D21" s="13"/>
      <x:c r="E21" s="13"/>
      <x:c r="F21" s="13"/>
      <x:c r="G21" s="13"/>
      <x:c r="H21" s="13"/>
      <x:c r="I21" s="13"/>
      <x:c r="J21" s="13"/>
      <x:c r="K21" s="13"/>
      <x:c r="L21" s="13"/>
    </x:row>
    <x:row r="22" ht="23" customHeight="1">
      <x:c r="A22" s="13"/>
      <x:c r="B22" s="13"/>
      <x:c r="C22" s="13"/>
      <x:c r="D22" s="13"/>
      <x:c r="E22" s="13"/>
      <x:c r="F22" s="13"/>
      <x:c r="G22" s="13"/>
      <x:c r="H22" s="13"/>
      <x:c r="I22" s="13"/>
      <x:c r="J22" s="13"/>
      <x:c r="K22" s="13"/>
      <x:c r="L22" s="13"/>
    </x:row>
    <x:row r="23" ht="23" customHeight="1">
      <x:c r="A23" s="13"/>
      <x:c r="B23" s="13"/>
      <x:c r="C23" s="13"/>
      <x:c r="D23" s="13"/>
      <x:c r="E23" s="13"/>
      <x:c r="F23" s="13"/>
      <x:c r="G23" s="13"/>
      <x:c r="H23" s="13"/>
      <x:c r="I23" s="13"/>
      <x:c r="J23" s="13"/>
      <x:c r="K23" s="13"/>
      <x:c r="L23" s="13"/>
    </x:row>
    <x:row r="24" ht="23" customHeight="1">
      <x:c r="A24" s="13"/>
      <x:c r="B24" s="13"/>
      <x:c r="C24" s="13"/>
      <x:c r="D24" s="13"/>
      <x:c r="E24" s="13"/>
      <x:c r="F24" s="13"/>
      <x:c r="G24" s="13"/>
      <x:c r="H24" s="13"/>
      <x:c r="I24" s="13"/>
      <x:c r="J24" s="13"/>
      <x:c r="K24" s="13"/>
      <x:c r="L24" s="13"/>
    </x:row>
    <x:row r="25" ht="23" customHeight="1">
      <x:c r="A25" s="13"/>
      <x:c r="B25" s="13"/>
      <x:c r="C25" s="13"/>
      <x:c r="D25" s="13"/>
      <x:c r="E25" s="13"/>
      <x:c r="F25" s="13"/>
      <x:c r="G25" s="13"/>
      <x:c r="H25" s="13"/>
      <x:c r="I25" s="13"/>
      <x:c r="J25" s="13"/>
      <x:c r="K25" s="13"/>
      <x:c r="L25" s="13"/>
    </x:row>
    <x:row r="26" ht="23" customHeight="1">
      <x:c r="A26" s="13"/>
      <x:c r="B26" s="13"/>
      <x:c r="C26" s="13"/>
      <x:c r="D26" s="13"/>
      <x:c r="E26" s="13"/>
      <x:c r="F26" s="13"/>
      <x:c r="G26" s="13"/>
      <x:c r="H26" s="13"/>
      <x:c r="I26" s="13"/>
      <x:c r="J26" s="13"/>
      <x:c r="K26" s="13"/>
      <x:c r="L26" s="13"/>
    </x:row>
    <x:row r="27" ht="23" customHeight="1">
      <x:c r="A27" s="13"/>
      <x:c r="B27" s="13"/>
      <x:c r="C27" s="13"/>
      <x:c r="D27" s="13"/>
      <x:c r="E27" s="13"/>
      <x:c r="F27" s="13"/>
      <x:c r="G27" s="13"/>
      <x:c r="H27" s="13"/>
      <x:c r="I27" s="13"/>
      <x:c r="J27" s="13"/>
      <x:c r="K27" s="13"/>
      <x:c r="L27" s="13"/>
    </x:row>
    <x:row r="28" ht="23" customHeight="1">
      <x:c r="A28" s="13"/>
      <x:c r="B28" s="13"/>
      <x:c r="C28" s="13"/>
      <x:c r="D28" s="13"/>
      <x:c r="E28" s="13"/>
      <x:c r="F28" s="13"/>
      <x:c r="G28" s="13"/>
      <x:c r="H28" s="13"/>
      <x:c r="I28" s="13"/>
      <x:c r="J28" s="13"/>
      <x:c r="K28" s="13"/>
      <x:c r="L28" s="13"/>
    </x:row>
    <x:row r="29" ht="23" customHeight="1">
      <x:c r="A29" s="13"/>
      <x:c r="B29" s="13"/>
      <x:c r="C29" s="13"/>
      <x:c r="D29" s="13"/>
      <x:c r="E29" s="13"/>
      <x:c r="F29" s="13"/>
      <x:c r="G29" s="13"/>
      <x:c r="H29" s="13"/>
      <x:c r="I29" s="13"/>
      <x:c r="J29" s="13"/>
      <x:c r="K29" s="13"/>
      <x:c r="L29" s="13"/>
    </x:row>
    <x:row r="30" ht="23" customHeight="1">
      <x:c r="A30" s="13"/>
      <x:c r="B30" s="13"/>
      <x:c r="C30" s="13"/>
      <x:c r="D30" s="13"/>
      <x:c r="E30" s="13"/>
      <x:c r="F30" s="13"/>
      <x:c r="G30" s="13"/>
      <x:c r="H30" s="13"/>
      <x:c r="I30" s="13"/>
      <x:c r="J30" s="13"/>
      <x:c r="K30" s="13"/>
      <x:c r="L30" s="13"/>
    </x:row>
    <x:row r="31" ht="30" customHeight="1">
      <x:c r="A31" s="25" t="str">
        <x:v>KOMPOSISI HASIL</x:v>
      </x:c>
      <x:c r="B31" s="25"/>
      <x:c r="C31" s="25"/>
      <x:c r="D31" s="25"/>
      <x:c r="E31" s="25"/>
      <x:c r="F31" s="25"/>
      <x:c r="G31" s="13"/>
      <x:c r="H31" s="25" t="str">
        <x:v>PERBANDINGAN PERMAINAN</x:v>
      </x:c>
      <x:c r="I31" s="25"/>
      <x:c r="J31" s="25"/>
      <x:c r="K31" s="25"/>
      <x:c r="L31" s="25"/>
    </x:row>
    <x:row r="32" ht="23" customHeight="1">
      <x:c r="A32" s="13"/>
      <x:c r="B32" s="13"/>
      <x:c r="C32" s="13"/>
      <x:c r="D32" s="13"/>
      <x:c r="E32" s="13"/>
      <x:c r="F32" s="13"/>
      <x:c r="G32" s="13"/>
      <x:c r="H32" s="13"/>
      <x:c r="I32" s="13"/>
      <x:c r="J32" s="13"/>
      <x:c r="K32" s="13"/>
      <x:c r="L32" s="13"/>
    </x:row>
    <x:row r="33" ht="23" customHeight="1">
      <x:c r="A33" s="13"/>
      <x:c r="B33" s="13"/>
      <x:c r="C33" s="13"/>
      <x:c r="D33" s="13"/>
      <x:c r="E33" s="13"/>
      <x:c r="F33" s="13"/>
      <x:c r="G33" s="13"/>
      <x:c r="H33" s="13"/>
      <x:c r="I33" s="13"/>
      <x:c r="J33" s="13"/>
      <x:c r="K33" s="13"/>
      <x:c r="L33" s="13"/>
    </x:row>
    <x:row r="34" ht="23" customHeight="1">
      <x:c r="A34" s="13"/>
      <x:c r="B34" s="13"/>
      <x:c r="C34" s="13"/>
      <x:c r="D34" s="13"/>
      <x:c r="E34" s="13"/>
      <x:c r="F34" s="13"/>
      <x:c r="G34" s="13"/>
      <x:c r="H34" s="13"/>
      <x:c r="I34" s="13"/>
      <x:c r="J34" s="13"/>
      <x:c r="K34" s="13"/>
      <x:c r="L34" s="13"/>
    </x:row>
    <x:row r="35" ht="23" customHeight="1">
      <x:c r="A35" s="13"/>
      <x:c r="B35" s="13"/>
      <x:c r="C35" s="13"/>
      <x:c r="D35" s="13"/>
      <x:c r="E35" s="13"/>
      <x:c r="F35" s="13"/>
      <x:c r="G35" s="13"/>
      <x:c r="H35" s="13"/>
      <x:c r="I35" s="13"/>
      <x:c r="J35" s="13"/>
      <x:c r="K35" s="13"/>
      <x:c r="L35" s="13"/>
    </x:row>
    <x:row r="36" ht="23" customHeight="1">
      <x:c r="A36" s="13"/>
      <x:c r="B36" s="13"/>
      <x:c r="C36" s="13"/>
      <x:c r="D36" s="13"/>
      <x:c r="E36" s="13"/>
      <x:c r="F36" s="13"/>
      <x:c r="G36" s="13"/>
      <x:c r="H36" s="13"/>
      <x:c r="I36" s="13"/>
      <x:c r="J36" s="13"/>
      <x:c r="K36" s="13"/>
      <x:c r="L36" s="13"/>
    </x:row>
    <x:row r="37" ht="23" customHeight="1">
      <x:c r="A37" s="13"/>
      <x:c r="B37" s="13"/>
      <x:c r="C37" s="13"/>
      <x:c r="D37" s="13"/>
      <x:c r="E37" s="13"/>
      <x:c r="F37" s="13"/>
      <x:c r="G37" s="13"/>
      <x:c r="H37" s="13"/>
      <x:c r="I37" s="13"/>
      <x:c r="J37" s="13"/>
      <x:c r="K37" s="13"/>
      <x:c r="L37" s="13"/>
    </x:row>
    <x:row r="38" ht="23" customHeight="1">
      <x:c r="A38" s="13"/>
      <x:c r="B38" s="13"/>
      <x:c r="C38" s="13"/>
      <x:c r="D38" s="13"/>
      <x:c r="E38" s="13"/>
      <x:c r="F38" s="13"/>
      <x:c r="G38" s="13"/>
      <x:c r="H38" s="13"/>
      <x:c r="I38" s="13"/>
      <x:c r="J38" s="13"/>
      <x:c r="K38" s="13"/>
      <x:c r="L38" s="13"/>
    </x:row>
    <x:row r="39" ht="23" customHeight="1">
      <x:c r="A39" s="13"/>
      <x:c r="B39" s="13"/>
      <x:c r="C39" s="13"/>
      <x:c r="D39" s="13"/>
      <x:c r="E39" s="13"/>
      <x:c r="F39" s="13"/>
      <x:c r="G39" s="13"/>
      <x:c r="H39" s="13"/>
      <x:c r="I39" s="13"/>
      <x:c r="J39" s="13"/>
      <x:c r="K39" s="13"/>
      <x:c r="L39" s="13"/>
    </x:row>
    <x:row r="40" ht="23" customHeight="1">
      <x:c r="A40" s="13"/>
      <x:c r="B40" s="13"/>
      <x:c r="C40" s="13"/>
      <x:c r="D40" s="13"/>
      <x:c r="E40" s="13"/>
      <x:c r="F40" s="13"/>
      <x:c r="G40" s="13"/>
      <x:c r="H40" s="13"/>
      <x:c r="I40" s="13"/>
      <x:c r="J40" s="13"/>
      <x:c r="K40" s="13"/>
      <x:c r="L40" s="13"/>
    </x:row>
    <x:row r="41" ht="23" customHeight="1">
      <x:c r="A41" s="13"/>
      <x:c r="B41" s="13"/>
      <x:c r="C41" s="13"/>
      <x:c r="D41" s="13"/>
      <x:c r="E41" s="13"/>
      <x:c r="F41" s="13"/>
      <x:c r="G41" s="13"/>
      <x:c r="H41" s="13"/>
      <x:c r="I41" s="13"/>
      <x:c r="J41" s="13"/>
      <x:c r="K41" s="13"/>
      <x:c r="L41" s="13"/>
    </x:row>
    <x:row r="42" ht="23" customHeight="1">
      <x:c r="A42" s="13"/>
      <x:c r="B42" s="13"/>
      <x:c r="C42" s="13"/>
      <x:c r="D42" s="13"/>
      <x:c r="E42" s="13"/>
      <x:c r="F42" s="13"/>
      <x:c r="G42" s="13"/>
      <x:c r="H42" s="13"/>
      <x:c r="I42" s="13"/>
      <x:c r="J42" s="13"/>
      <x:c r="K42" s="13"/>
      <x:c r="L42" s="13"/>
    </x:row>
    <x:row r="43" ht="23" customHeight="1">
      <x:c r="A43" s="13"/>
      <x:c r="B43" s="13"/>
      <x:c r="C43" s="13"/>
      <x:c r="D43" s="13"/>
      <x:c r="E43" s="13"/>
      <x:c r="F43" s="13"/>
      <x:c r="G43" s="13"/>
      <x:c r="H43" s="13"/>
      <x:c r="I43" s="13"/>
      <x:c r="J43" s="13"/>
      <x:c r="K43" s="13"/>
      <x:c r="L43" s="13"/>
    </x:row>
    <x:row r="44" ht="30" customHeight="1">
      <x:c r="A44" s="25" t="str">
        <x:v>TINDAKAN SETELAH ACARA</x:v>
      </x:c>
      <x:c r="B44" s="25"/>
      <x:c r="C44" s="25"/>
      <x:c r="D44" s="25"/>
      <x:c r="E44" s="25"/>
      <x:c r="F44" s="25"/>
      <x:c r="G44" s="25"/>
      <x:c r="H44" s="25"/>
      <x:c r="I44" s="25"/>
      <x:c r="J44" s="25"/>
      <x:c r="K44" s="25"/>
      <x:c r="L44" s="25"/>
    </x:row>
    <x:row r="45" ht="22" customHeight="1">
      <x:c r="A45" s="27" t="str">
        <x:f>'Rekomendasi'!C10</x:f>
        <x:v>Belum ada hadiah pada filter ini. Tidak ada tingkat penyerahan yang dapat dinilai.</x:v>
      </x:c>
      <x:c r="B45" s="27"/>
      <x:c r="C45" s="27"/>
      <x:c r="D45" s="27"/>
      <x:c r="E45" s="27"/>
      <x:c r="F45" s="27"/>
      <x:c r="G45" s="27"/>
      <x:c r="H45" s="27"/>
      <x:c r="I45" s="27"/>
      <x:c r="J45" s="27"/>
      <x:c r="K45" s="27"/>
      <x:c r="L45" s="27"/>
    </x:row>
    <x:row r="46" ht="22" customHeight="1">
      <x:c r="A46" s="27"/>
      <x:c r="B46" s="27"/>
      <x:c r="C46" s="27"/>
      <x:c r="D46" s="27"/>
      <x:c r="E46" s="27"/>
      <x:c r="F46" s="27"/>
      <x:c r="G46" s="27"/>
      <x:c r="H46" s="27"/>
      <x:c r="I46" s="27"/>
      <x:c r="J46" s="27"/>
      <x:c r="K46" s="27"/>
      <x:c r="L46" s="27"/>
    </x:row>
    <x:row r="47" ht="22" customHeight="1">
      <x:c r="A47" s="27" t="str">
        <x:f>'Rekomendasi'!C13</x:f>
        <x:v>Siapkan tambahan stok sesuai sheet Rencana Acara, lalu sesuaikan dengan anggaran, kuota hadiah utama dan kebijakan promo.</x:v>
      </x:c>
      <x:c r="B47" s="27"/>
      <x:c r="C47" s="27"/>
      <x:c r="D47" s="27"/>
      <x:c r="E47" s="27"/>
      <x:c r="F47" s="27"/>
      <x:c r="G47" s="27"/>
      <x:c r="H47" s="27"/>
      <x:c r="I47" s="27"/>
      <x:c r="J47" s="27"/>
      <x:c r="K47" s="27"/>
      <x:c r="L47" s="27"/>
    </x:row>
    <x:row r="48" ht="22" customHeight="1">
      <x:c r="A48" s="27"/>
      <x:c r="B48" s="27"/>
      <x:c r="C48" s="27"/>
      <x:c r="D48" s="27"/>
      <x:c r="E48" s="27"/>
      <x:c r="F48" s="27"/>
      <x:c r="G48" s="27"/>
      <x:c r="H48" s="27"/>
      <x:c r="I48" s="27"/>
      <x:c r="J48" s="27"/>
      <x:c r="K48" s="27"/>
      <x:c r="L48" s="27"/>
    </x:row>
    <x:row r="49" ht="23" customHeight="1">
      <x:c r="A49" s="19" t="str">
        <x:v>Sumber: riwayat + inventori aplikasi pada waktu ekspor. Frekuensi bermain bukan peserta unik, preferensi terbukti, penjualan atau ROI.</x:v>
      </x:c>
      <x:c r="B49" s="19"/>
      <x:c r="C49" s="19"/>
      <x:c r="D49" s="19"/>
      <x:c r="E49" s="19"/>
      <x:c r="F49" s="19"/>
      <x:c r="G49" s="19"/>
      <x:c r="H49" s="19"/>
      <x:c r="I49" s="19"/>
      <x:c r="J49" s="19"/>
      <x:c r="K49" s="19"/>
      <x:c r="L49" s="19"/>
    </x:row>
    <x:row r="50" ht="23" customHeight="1">
      <x:c r="A50" s="19"/>
      <x:c r="B50" s="19"/>
      <x:c r="C50" s="19"/>
      <x:c r="D50" s="19"/>
      <x:c r="E50" s="19"/>
      <x:c r="F50" s="19"/>
      <x:c r="G50" s="19"/>
      <x:c r="H50" s="19"/>
      <x:c r="I50" s="19"/>
      <x:c r="J50" s="19"/>
      <x:c r="K50" s="19"/>
      <x:c r="L50" s="19"/>
    </x:row>
  </x:sheetData>
  <x:mergeCells>
    <x:mergeCell ref="A1:L1"/>
    <x:mergeCell ref="A3:L3"/>
    <x:mergeCell ref="A4:C4"/>
    <x:mergeCell ref="E4:G4"/>
    <x:mergeCell ref="I4:L4"/>
    <x:mergeCell ref="A5:C5"/>
    <x:mergeCell ref="E5:G5"/>
    <x:mergeCell ref="I5:L5"/>
    <x:mergeCell ref="A7:L7"/>
    <x:mergeCell ref="A9:C9"/>
    <x:mergeCell ref="D9:F9"/>
    <x:mergeCell ref="G9:I9"/>
    <x:mergeCell ref="J9:L9"/>
    <x:mergeCell ref="A10:C12"/>
    <x:mergeCell ref="D10:F12"/>
    <x:mergeCell ref="G10:I12"/>
    <x:mergeCell ref="J10:L12"/>
    <x:mergeCell ref="A14:B14"/>
    <x:mergeCell ref="E14:F14"/>
    <x:mergeCell ref="I14:J14"/>
    <x:mergeCell ref="A16:L16"/>
    <x:mergeCell ref="A31:F31"/>
    <x:mergeCell ref="H31:L31"/>
    <x:mergeCell ref="A44:L44"/>
    <x:mergeCell ref="A45:L46"/>
    <x:mergeCell ref="A47:L48"/>
    <x:mergeCell ref="A49:L50"/>
  </x:mergeCells>
  <x:dataValidations count="3">
    <x:dataValidation type="list" sqref="I5">
      <x:formula1>"Semua,Spin &amp; Win,Beauty Box"</x:formula1>
    </x:dataValidation>
    <x:dataValidation type="date" operator="between" sqref="A5">
      <x:formula1>1</x:formula1>
      <x:formula2>2958465</x:formula2>
    </x:dataValidation>
    <x:dataValidation type="date" operator="between" sqref="E5">
      <x:formula1>1</x:formula1>
      <x:formula2>2958465</x:formula2>
    </x:dataValidation>
  </x:dataValidations>
  <x:pageMargins left="0.7" right="0.7" top="0.75" bottom="0.75" header="0.3" footer="0.3"/>
  <x:drawing xmlns:r="http://schemas.openxmlformats.org/officeDocument/2006/relationships" r:id="R98fe5c3143d547e5"/>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68" hidden="0" customWidth="1"/>
    <x:col min="4" max="4" width="23" hidden="0" customWidth="1"/>
    <x:col min="5" max="5" width="20" hidden="0" customWidth="1"/>
    <x:col min="6" max="6" width="18" hidden="0" customWidth="1"/>
    <x:col min="7" max="7" width="24" hidden="0" customWidth="1"/>
  </x:cols>
  <x:sheetData>
    <x:row r="1" ht="48" customHeight="1">
      <x:c r="A1" s="5" t="str">
        <x:v>REKOMENDASI / DECISION LOG</x:v>
      </x:c>
      <x:c r="B1" s="5"/>
      <x:c r="C1" s="5"/>
      <x:c r="D1" s="5"/>
      <x:c r="E1" s="5"/>
      <x:c r="F1" s="5"/>
      <x:c r="G1" s="5"/>
    </x:row>
    <x:row r="2" ht="23" customHeight="1">
      <x:c r="A2" s="3"/>
      <x:c r="B2" s="3"/>
      <x:c r="C2" s="3"/>
      <x:c r="D2" s="3"/>
      <x:c r="E2" s="3"/>
      <x:c r="F2" s="3"/>
      <x:c r="G2" s="3"/>
    </x:row>
    <x:row r="3" ht="38" customHeight="1">
      <x:c r="A3" s="7" t="str">
        <x:v>Aturan yang terlihat dan bisa disetel; keputusan akhir milik manajemen. Isi PIC, tenggat dan status tindak lanjut.</x:v>
      </x:c>
      <x:c r="B3" s="7"/>
      <x:c r="C3" s="7"/>
      <x:c r="D3" s="7"/>
      <x:c r="E3" s="7"/>
      <x:c r="F3" s="7"/>
      <x:c r="G3" s="7"/>
    </x:row>
    <x:row r="4" ht="38" customHeight="1">
      <x:c r="A4" s="9" t="str">
        <x:v>Minimum sampel (asumsi)</x:v>
      </x:c>
      <x:c r="B4" s="9" t="str">
        <x:v>Target penyerahan</x:v>
      </x:c>
      <x:c r="C4" s="9" t="str">
        <x:v>Ambang review zonk</x:v>
      </x:c>
      <x:c r="D4" s="9" t="str">
        <x:v>Ambang porsi game</x:v>
      </x:c>
      <x:c r="E4" s="3"/>
      <x:c r="F4" s="3"/>
      <x:c r="G4" s="3"/>
    </x:row>
    <x:row r="5" ht="30" customHeight="1">
      <x:c r="A5" s="16" t="n">
        <x:v>30</x:v>
      </x:c>
      <x:c r="B5" s="28" t="n">
        <x:v>0.95</x:v>
      </x:c>
      <x:c r="C5" s="28" t="n">
        <x:v>0.02</x:v>
      </x:c>
      <x:c r="D5" s="28" t="n">
        <x:v>0.6</x:v>
      </x:c>
      <x:c r="E5" s="3"/>
      <x:c r="F5" s="3"/>
      <x:c r="G5" s="3"/>
    </x:row>
    <x:row r="6" ht="23" customHeight="1">
      <x:c r="A6" s="3"/>
      <x:c r="B6" s="3"/>
      <x:c r="C6" s="3"/>
      <x:c r="D6" s="3"/>
      <x:c r="E6" s="3"/>
      <x:c r="F6" s="3"/>
      <x:c r="G6" s="3"/>
    </x:row>
    <x:row r="7" ht="23" customHeight="1">
      <x:c r="A7" s="3"/>
      <x:c r="B7" s="3"/>
      <x:c r="C7" s="3"/>
      <x:c r="D7" s="3"/>
      <x:c r="E7" s="3"/>
      <x:c r="F7" s="3"/>
      <x:c r="G7" s="3"/>
    </x:row>
    <x:row r="8" ht="38" customHeight="1">
      <x:c r="A8" s="9" t="str">
        <x:v>Area keputusan</x:v>
      </x:c>
      <x:c r="B8" s="9" t="str">
        <x:v>Bukti sesuai filter</x:v>
      </x:c>
      <x:c r="C8" s="9" t="str">
        <x:v>Rekomendasi tindakan</x:v>
      </x:c>
      <x:c r="D8" s="9" t="str">
        <x:v>Prioritas</x:v>
      </x:c>
      <x:c r="E8" s="9" t="str">
        <x:v>PIC</x:v>
      </x:c>
      <x:c r="F8" s="9" t="str">
        <x:v>Tenggat</x:v>
      </x:c>
      <x:c r="G8" s="9" t="str">
        <x:v>Status tindak lanjut</x:v>
      </x:c>
    </x:row>
    <x:row r="9" ht="89" customHeight="1">
      <x:c r="A9" s="10" t="str">
        <x:v>Kualitas sampel</x:v>
      </x:c>
      <x:c r="B9" s="10" t="str">
        <x:f>'Ringkasan'!B5&amp;" permainan"</x:f>
        <x:v>0 permainan</x:v>
      </x:c>
      <x:c r="C9" s="10" t="str">
        <x:f>IF('Ringkasan'!B5&gt;=$A$5,"Sampel cukup untuk tinjauan awal. Tetap bedakan permainan dari peserta unik dan penjualan.","Kumpulkan data tambahan sebelum mengubah komposisi game. Rotasikan penawaran kedua game secara setara.")</x:f>
        <x:v>Kumpulkan data tambahan sebelum mengubah komposisi game. Rotasikan penawaran kedua game secara setara.</x:v>
      </x:c>
      <x:c r="D9" s="10" t="str">
        <x:f>IF('Ringkasan'!B5&gt;=$A$5,"Tinjau","Tahan kesimpulan")</x:f>
        <x:v>Tahan kesimpulan</x:v>
      </x:c>
      <x:c r="E9" s="30"/>
      <x:c r="F9" s="30"/>
      <x:c r="G9" s="30" t="str">
        <x:v>Belum dimulai</x:v>
      </x:c>
    </x:row>
    <x:row r="10" ht="89" customHeight="1">
      <x:c r="A10" s="10" t="str">
        <x:v>Penyerahan hadiah</x:v>
      </x:c>
      <x:c r="B10" s="10" t="str">
        <x:f>'Ringkasan'!B8&amp;" belum diserahkan"</x:f>
        <x:v>0 belum diserahkan</x:v>
      </x:c>
      <x:c r="C10" s="10" t="str">
        <x:f>IF('Ringkasan'!B6=0,"Belum ada hadiah pada filter ini. Tidak ada tingkat penyerahan yang dapat dinilai.",IF('Ringkasan'!B10&lt;$B$5,"Selesaikan pencocokan kode dan penyerahan. Siapkan satu petugas klaim khusus pada acara berikutnya.",IF('Ringkasan'!B8&gt;0,"Target rasio tercapai, tetapi masih ada hadiah belum diserahkan. Selesaikan pencocokan kode.","Penyerahan tercatat lengkap. Pertahankan pencocokan kode sebelum barang diberikan.")))</x:f>
        <x:v>Belum ada hadiah pada filter ini. Tidak ada tingkat penyerahan yang dapat dinilai.</x:v>
      </x:c>
      <x:c r="D10" s="10" t="str">
        <x:f>IF('Ringkasan'!B8&gt;0,"Prioritas","Terkendali")</x:f>
        <x:v>Terkendali</x:v>
      </x:c>
      <x:c r="E10" s="30"/>
      <x:c r="F10" s="30"/>
      <x:c r="G10" s="30" t="str">
        <x:v>Belum dimulai</x:v>
      </x:c>
    </x:row>
    <x:row r="11" ht="89" customHeight="1">
      <x:c r="A11" s="10" t="str">
        <x:v>Pilihan permainan</x:v>
      </x:c>
      <x:c r="B11" s="10" t="str">
        <x:f>'Ringkasan'!I5&amp;" roda / "&amp;'Ringkasan'!I6&amp;" kotak"</x:f>
        <x:v>0 roda / 0 kotak</x:v>
      </x:c>
      <x:c r="C11" s="10" t="str">
        <x:f>IF('Ringkasan'!B5&lt;$A$5,"Belum cukup data untuk menentukan game utama. Uji rotasi posisi dan durasi tayang yang setara.",IF('Dashboard'!I5&lt;&gt;"Semua","Pilih Semua pada filter game sebelum membandingkan kedua permainan.",IF(MAX('Ringkasan'!I5:I6)/'Ringkasan'!B5&gt;=$D$5,IF('Ringkasan'!I5&gt;'Ringkasan'!I6,"Spin &amp; Win","Beauty Box")&amp;" mencatat lebih banyak permainan. Uji slot utama dengan rotasi yang setara; ini bukan bukti preferensi atau penjualan.","Pertahankan dua pilihan permainan; bandingkan dengan durasi tayang dan arahan operator yang setara.")))</x:f>
        <x:v>Belum cukup data untuk menentukan game utama. Uji rotasi posisi dan durasi tayang yang setara.</x:v>
      </x:c>
      <x:c r="D11" s="10" t="str">
        <x:v>Uji terkontrol</x:v>
      </x:c>
      <x:c r="E11" s="30"/>
      <x:c r="F11" s="30"/>
      <x:c r="G11" s="30" t="str">
        <x:v>Belum dimulai</x:v>
      </x:c>
    </x:row>
    <x:row r="12" ht="89" customHeight="1">
      <x:c r="A12" s="10" t="str">
        <x:v>Pengalaman zonk</x:v>
      </x:c>
      <x:c r="B12" s="10" t="str">
        <x:f>'Ringkasan'!B9&amp;" zonk"</x:f>
        <x:v>0 zonk</x:v>
      </x:c>
      <x:c r="C12" s="10" t="str">
        <x:f>IF('Ringkasan'!B5&lt;$A$5,"Sampel belum cukup untuk menilai rasio zonk. Kumpulkan umpan balik peserta.",IF('Ringkasan'!B11&gt;$C$5,"Rasio zonk melewati ambang review. Periksa sampel dan umpan balik sebelum menurunkan peluang di admin.","Rasio zonk berada di bawah ambang review. Pertahankan pengawasan dan transparansi peluang."))</x:f>
        <x:v>Sampel belum cukup untuk menilai rasio zonk. Kumpulkan umpan balik peserta.</x:v>
      </x:c>
      <x:c r="D12" s="10" t="str">
        <x:f>IF(AND('Ringkasan'!B5&gt;=$A$5,'Ringkasan'!B11&gt;$C$5),"Tinjau","Pantau")</x:f>
        <x:v>Pantau</x:v>
      </x:c>
      <x:c r="E12" s="30"/>
      <x:c r="F12" s="30"/>
      <x:c r="G12" s="30" t="str">
        <x:v>Belum dimulai</x:v>
      </x:c>
    </x:row>
    <x:row r="13" ht="89" customHeight="1">
      <x:c r="A13" s="10" t="str">
        <x:v>Persediaan berikutnya</x:v>
      </x:c>
      <x:c r="B13" s="10" t="str">
        <x:f>'Rencana Acara'!E8&amp;" tambahan unit"</x:f>
        <x:v>97 tambahan unit</x:v>
      </x:c>
      <x:c r="C13" s="10" t="str">
        <x:f>IF('Rencana Acara'!E8&gt;0,"Siapkan tambahan stok sesuai sheet Rencana Acara, lalu sesuaikan dengan anggaran, kuota hadiah utama dan kebijakan promo.","Stok snapshot mencukupi skenario saat ini. Periksa kembali target permainan dan persediaan fisik.")</x:f>
        <x:v>Siapkan tambahan stok sesuai sheet Rencana Acara, lalu sesuaikan dengan anggaran, kuota hadiah utama dan kebijakan promo.</x:v>
      </x:c>
      <x:c r="D13" s="10" t="str">
        <x:v>Rencana</x:v>
      </x:c>
      <x:c r="E13" s="30"/>
      <x:c r="F13" s="30"/>
      <x:c r="G13" s="30" t="str">
        <x:v>Belum dimulai</x:v>
      </x:c>
    </x:row>
    <x:row r="14" ht="89" customHeight="1">
      <x:c r="A14" s="10" t="str">
        <x:v>Biaya dan hasil bisnis</x:v>
      </x:c>
      <x:c r="B14" s="10" t="str">
        <x:f>IF(COUNTIF('Rencana Acara'!L14:L28,"Isi biaya riil")&gt;0,COUNTIF('Rencana Acara'!L14:L28,"Isi biaya riil")&amp;" biaya unit kosong","Biaya hadiah terisi")</x:f>
        <x:v>15 biaya unit kosong</x:v>
      </x:c>
      <x:c r="C14" s="10" t="str">
        <x:f>IF(COUNTIF('Rencana Acara'!L14:L28,"Isi biaya riil")&gt;0,"Isi biaya riil per unit pada Rencana Acara. Nominal diskon voucher bukan otomatis biaya yang terealisasi.","Anggaran hadiah skenario tersedia. Tambahkan biaya booth, staf dan data penjualan secara terpisah sebelum menilai ROI.")</x:f>
        <x:v>Isi biaya riil per unit pada Rencana Acara. Nominal diskon voucher bukan otomatis biaya yang terealisasi.</x:v>
      </x:c>
      <x:c r="D14" s="10" t="str">
        <x:f>IF(COUNTIF('Rencana Acara'!L14:L28,"Isi biaya riil")&gt;0,"Lengkapi data","Tinjau anggaran")</x:f>
        <x:v>Lengkapi data</x:v>
      </x:c>
      <x:c r="E14" s="30"/>
      <x:c r="F14" s="30"/>
      <x:c r="G14" s="30" t="str">
        <x:v>Belum dimulai</x:v>
      </x:c>
    </x:row>
    <x:row r="15" ht="23" customHeight="1">
      <x:c r="A15" s="3"/>
      <x:c r="B15" s="3"/>
      <x:c r="C15" s="3"/>
      <x:c r="D15" s="3"/>
      <x:c r="E15" s="3"/>
      <x:c r="F15" s="3"/>
      <x:c r="G15" s="3"/>
    </x:row>
    <x:row r="16" ht="23" customHeight="1">
      <x:c r="A16" s="3"/>
      <x:c r="B16" s="3"/>
      <x:c r="C16" s="3"/>
      <x:c r="D16" s="3"/>
      <x:c r="E16" s="3"/>
      <x:c r="F16" s="3"/>
      <x:c r="G16" s="3"/>
    </x:row>
    <x:row r="17" ht="23" customHeight="1">
      <x:c r="A17" s="3"/>
      <x:c r="B17" s="3"/>
      <x:c r="C17" s="3"/>
      <x:c r="D17" s="3"/>
      <x:c r="E17" s="3"/>
      <x:c r="F17" s="3"/>
      <x:c r="G17" s="3"/>
    </x:row>
    <x:row r="18" ht="23" customHeight="1">
      <x:c r="A18" s="3"/>
      <x:c r="B18" s="3"/>
      <x:c r="C18" s="3"/>
      <x:c r="D18" s="3"/>
      <x:c r="E18" s="3"/>
      <x:c r="F18" s="3"/>
      <x:c r="G18" s="3"/>
    </x:row>
    <x:row r="19" ht="23" customHeight="1">
      <x:c r="A19" s="3"/>
      <x:c r="B19" s="3"/>
      <x:c r="C19" s="3"/>
      <x:c r="D19" s="3"/>
      <x:c r="E19" s="3"/>
      <x:c r="F19" s="3"/>
      <x:c r="G19" s="3"/>
    </x:row>
    <x:row r="20" ht="23" customHeight="1">
      <x:c r="A20" s="3"/>
      <x:c r="B20" s="3"/>
      <x:c r="C20" s="3"/>
      <x:c r="D20" s="3"/>
      <x:c r="E20" s="3"/>
      <x:c r="F20" s="3"/>
      <x:c r="G20" s="3"/>
    </x:row>
    <x:row r="21" ht="23" customHeight="1">
      <x:c r="A21" s="3"/>
      <x:c r="B21" s="3"/>
      <x:c r="C21" s="3"/>
      <x:c r="D21" s="3"/>
      <x:c r="E21" s="3"/>
      <x:c r="F21" s="3"/>
      <x:c r="G21" s="3"/>
    </x:row>
    <x:row r="22" ht="23" customHeight="1">
      <x:c r="A22" s="3"/>
      <x:c r="B22" s="3"/>
      <x:c r="C22" s="3"/>
      <x:c r="D22" s="3"/>
      <x:c r="E22" s="3"/>
      <x:c r="F22" s="3"/>
      <x:c r="G22" s="3"/>
    </x:row>
    <x:row r="23" ht="23" customHeight="1">
      <x:c r="A23" s="3"/>
      <x:c r="B23" s="3"/>
      <x:c r="C23" s="3"/>
      <x:c r="D23" s="3"/>
      <x:c r="E23" s="3"/>
      <x:c r="F23" s="3"/>
      <x:c r="G23" s="3"/>
    </x:row>
    <x:row r="24" ht="23" customHeight="1">
      <x:c r="A24" s="3"/>
      <x:c r="B24" s="3"/>
      <x:c r="C24" s="3"/>
      <x:c r="D24" s="3"/>
      <x:c r="E24" s="3"/>
      <x:c r="F24" s="3"/>
      <x:c r="G24" s="3"/>
    </x:row>
    <x:row r="25" ht="23" customHeight="1">
      <x:c r="A25" s="3"/>
      <x:c r="B25" s="3"/>
      <x:c r="C25" s="3"/>
      <x:c r="D25" s="3"/>
      <x:c r="E25" s="3"/>
      <x:c r="F25" s="3"/>
      <x:c r="G25" s="3"/>
    </x:row>
    <x:row r="26" ht="23" customHeight="1">
      <x:c r="A26" s="3"/>
      <x:c r="B26" s="3"/>
      <x:c r="C26" s="3"/>
      <x:c r="D26" s="3"/>
      <x:c r="E26" s="3"/>
      <x:c r="F26" s="3"/>
      <x:c r="G26" s="3"/>
    </x:row>
    <x:row r="27" ht="23" customHeight="1">
      <x:c r="A27" s="3"/>
      <x:c r="B27" s="3"/>
      <x:c r="C27" s="3"/>
      <x:c r="D27" s="3"/>
      <x:c r="E27" s="3"/>
      <x:c r="F27" s="3"/>
      <x:c r="G27" s="3"/>
    </x:row>
    <x:row r="28" ht="23" customHeight="1">
      <x:c r="A28" s="3"/>
      <x:c r="B28" s="3"/>
      <x:c r="C28" s="3"/>
      <x:c r="D28" s="3"/>
      <x:c r="E28" s="3"/>
      <x:c r="F28" s="3"/>
      <x:c r="G28" s="3"/>
    </x:row>
    <x:row r="29" ht="23" customHeight="1">
      <x:c r="A29" s="3"/>
      <x:c r="B29" s="3"/>
      <x:c r="C29" s="3"/>
      <x:c r="D29" s="3"/>
      <x:c r="E29" s="3"/>
      <x:c r="F29" s="3"/>
      <x:c r="G29" s="3"/>
    </x:row>
    <x:row r="30" ht="23" customHeight="1">
      <x:c r="A30" s="3"/>
      <x:c r="B30" s="3"/>
      <x:c r="C30" s="3"/>
      <x:c r="D30" s="3"/>
      <x:c r="E30" s="3"/>
      <x:c r="F30" s="3"/>
      <x:c r="G30" s="3"/>
    </x:row>
    <x:row r="31" ht="23" customHeight="1">
      <x:c r="A31" s="3"/>
      <x:c r="B31" s="3"/>
      <x:c r="C31" s="3"/>
      <x:c r="D31" s="3"/>
      <x:c r="E31" s="3"/>
      <x:c r="F31" s="3"/>
      <x:c r="G31" s="3"/>
    </x:row>
    <x:row r="32" ht="23" customHeight="1">
      <x:c r="A32" s="3"/>
      <x:c r="B32" s="3"/>
      <x:c r="C32" s="3"/>
      <x:c r="D32" s="3"/>
      <x:c r="E32" s="3"/>
      <x:c r="F32" s="3"/>
      <x:c r="G32" s="3"/>
    </x:row>
    <x:row r="33" ht="23" customHeight="1">
      <x:c r="A33" s="3"/>
      <x:c r="B33" s="3"/>
      <x:c r="C33" s="3"/>
      <x:c r="D33" s="3"/>
      <x:c r="E33" s="3"/>
      <x:c r="F33" s="3"/>
      <x:c r="G33" s="3"/>
    </x:row>
    <x:row r="34" ht="23" customHeight="1">
      <x:c r="A34" s="3"/>
      <x:c r="B34" s="3"/>
      <x:c r="C34" s="3"/>
      <x:c r="D34" s="3"/>
      <x:c r="E34" s="3"/>
      <x:c r="F34" s="3"/>
      <x:c r="G34" s="3"/>
    </x:row>
    <x:row r="35" ht="23" customHeight="1">
      <x:c r="A35" s="3"/>
      <x:c r="B35" s="3"/>
      <x:c r="C35" s="3"/>
      <x:c r="D35" s="3"/>
      <x:c r="E35" s="3"/>
      <x:c r="F35" s="3"/>
      <x:c r="G35" s="3"/>
    </x:row>
    <x:row r="36" ht="23" customHeight="1">
      <x:c r="A36" s="3"/>
      <x:c r="B36" s="3"/>
      <x:c r="C36" s="3"/>
      <x:c r="D36" s="3"/>
      <x:c r="E36" s="3"/>
      <x:c r="F36" s="3"/>
      <x:c r="G36" s="3"/>
    </x:row>
    <x:row r="37" ht="23" customHeight="1">
      <x:c r="A37" s="3"/>
      <x:c r="B37" s="3"/>
      <x:c r="C37" s="3"/>
      <x:c r="D37" s="3"/>
      <x:c r="E37" s="3"/>
      <x:c r="F37" s="3"/>
      <x:c r="G37" s="3"/>
    </x:row>
    <x:row r="38" ht="23" customHeight="1">
      <x:c r="A38" s="3"/>
      <x:c r="B38" s="3"/>
      <x:c r="C38" s="3"/>
      <x:c r="D38" s="3"/>
      <x:c r="E38" s="3"/>
      <x:c r="F38" s="3"/>
      <x:c r="G38" s="3"/>
    </x:row>
    <x:row r="39" ht="23" customHeight="1">
      <x:c r="A39" s="3"/>
      <x:c r="B39" s="3"/>
      <x:c r="C39" s="3"/>
      <x:c r="D39" s="3"/>
      <x:c r="E39" s="3"/>
      <x:c r="F39" s="3"/>
      <x:c r="G39" s="3"/>
    </x:row>
    <x:row r="40" ht="23" customHeight="1">
      <x:c r="A40" s="3"/>
      <x:c r="B40" s="3"/>
      <x:c r="C40" s="3"/>
      <x:c r="D40" s="3"/>
      <x:c r="E40" s="3"/>
      <x:c r="F40" s="3"/>
      <x:c r="G40" s="3"/>
    </x:row>
    <x:row r="41" ht="23" customHeight="1">
      <x:c r="A41" s="3"/>
      <x:c r="B41" s="3"/>
      <x:c r="C41" s="3"/>
      <x:c r="D41" s="3"/>
      <x:c r="E41" s="3"/>
      <x:c r="F41" s="3"/>
      <x:c r="G41" s="3"/>
    </x:row>
    <x:row r="42" ht="23" customHeight="1">
      <x:c r="A42" s="3"/>
      <x:c r="B42" s="3"/>
      <x:c r="C42" s="3"/>
      <x:c r="D42" s="3"/>
      <x:c r="E42" s="3"/>
      <x:c r="F42" s="3"/>
      <x:c r="G42" s="3"/>
    </x:row>
    <x:row r="43" ht="23" customHeight="1">
      <x:c r="A43" s="3"/>
      <x:c r="B43" s="3"/>
      <x:c r="C43" s="3"/>
      <x:c r="D43" s="3"/>
      <x:c r="E43" s="3"/>
      <x:c r="F43" s="3"/>
      <x:c r="G43" s="3"/>
    </x:row>
    <x:row r="44" ht="23" customHeight="1">
      <x:c r="A44" s="3"/>
      <x:c r="B44" s="3"/>
      <x:c r="C44" s="3"/>
      <x:c r="D44" s="3"/>
      <x:c r="E44" s="3"/>
      <x:c r="F44" s="3"/>
      <x:c r="G44" s="3"/>
    </x:row>
    <x:row r="45" ht="23" customHeight="1">
      <x:c r="A45" s="3"/>
      <x:c r="B45" s="3"/>
      <x:c r="C45" s="3"/>
      <x:c r="D45" s="3"/>
      <x:c r="E45" s="3"/>
      <x:c r="F45" s="3"/>
      <x:c r="G45" s="3"/>
    </x:row>
    <x:row r="46" ht="23" customHeight="1">
      <x:c r="A46" s="3"/>
      <x:c r="B46" s="3"/>
      <x:c r="C46" s="3"/>
      <x:c r="D46" s="3"/>
      <x:c r="E46" s="3"/>
      <x:c r="F46" s="3"/>
      <x:c r="G46" s="3"/>
    </x:row>
    <x:row r="47" ht="23" customHeight="1">
      <x:c r="A47" s="3"/>
      <x:c r="B47" s="3"/>
      <x:c r="C47" s="3"/>
      <x:c r="D47" s="3"/>
      <x:c r="E47" s="3"/>
      <x:c r="F47" s="3"/>
      <x:c r="G47" s="3"/>
    </x:row>
    <x:row r="48" ht="23" customHeight="1">
      <x:c r="A48" s="3"/>
      <x:c r="B48" s="3"/>
      <x:c r="C48" s="3"/>
      <x:c r="D48" s="3"/>
      <x:c r="E48" s="3"/>
      <x:c r="F48" s="3"/>
      <x:c r="G48" s="3"/>
    </x:row>
    <x:row r="49" ht="23" customHeight="1">
      <x:c r="A49" s="3"/>
      <x:c r="B49" s="3"/>
      <x:c r="C49" s="3"/>
      <x:c r="D49" s="3"/>
      <x:c r="E49" s="3"/>
      <x:c r="F49" s="3"/>
      <x:c r="G49" s="3"/>
    </x:row>
    <x:row r="50" ht="23" customHeight="1">
      <x:c r="A50" s="3"/>
      <x:c r="B50" s="3"/>
      <x:c r="C50" s="3"/>
      <x:c r="D50" s="3"/>
      <x:c r="E50" s="3"/>
      <x:c r="F50" s="3"/>
      <x:c r="G50" s="3"/>
    </x:row>
  </x:sheetData>
  <x:mergeCells>
    <x:mergeCell ref="A1:G1"/>
    <x:mergeCell ref="A3:G3"/>
  </x:mergeCells>
  <x:conditionalFormatting sqref="D9:D14">
    <x:cfRule type="containsText" dxfId="0" priority="1" operator="containsText" text="Prioritas"/>
  </x:conditionalFormatting>
  <x:dataValidations count="3">
    <x:dataValidation type="list" sqref="G9:G14">
      <x:formula1>"Belum dimulai,Berjalan,Selesai,Tidak diterapkan"</x:formula1>
    </x:dataValidation>
    <x:dataValidation type="whole" operator="between" sqref="A5">
      <x:formula1>1</x:formula1>
      <x:formula2>1000000</x:formula2>
    </x:dataValidation>
    <x:dataValidation type="decimal" operator="between" sqref="B5:D5">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1" hidden="0" customWidth="1"/>
    <x:col min="2" max="2" width="45" hidden="0" customWidth="1"/>
    <x:col min="3" max="3" width="18" hidden="0" customWidth="1"/>
    <x:col min="4" max="4" width="12" hidden="0" customWidth="1"/>
    <x:col min="5" max="5" width="14" hidden="0" customWidth="1"/>
    <x:col min="6" max="6" width="14" hidden="0" customWidth="1"/>
    <x:col min="7" max="7" width="14" hidden="0" customWidth="1"/>
    <x:col min="8" max="8" width="14" hidden="0" customWidth="1"/>
    <x:col min="9" max="9" width="14" hidden="0" customWidth="1"/>
    <x:col min="10" max="10" width="20" hidden="0" customWidth="1"/>
    <x:col min="11" max="11" width="21" hidden="0" customWidth="1"/>
    <x:col min="12" max="12" width="23" hidden="0" customWidth="1"/>
  </x:cols>
  <x:sheetData>
    <x:row r="1" ht="48" customHeight="1">
      <x:c r="A1" s="5" t="str">
        <x:v>RENCANA ACARA BERIKUTNYA</x:v>
      </x:c>
      <x:c r="B1" s="5"/>
      <x:c r="C1" s="5"/>
      <x:c r="D1" s="5"/>
      <x:c r="E1" s="5"/>
      <x:c r="F1" s="5"/>
      <x:c r="G1" s="5"/>
      <x:c r="H1" s="5"/>
      <x:c r="I1" s="5"/>
      <x:c r="J1" s="5"/>
      <x:c r="K1" s="5"/>
      <x:c r="L1" s="5"/>
    </x:row>
    <x:row r="2" ht="23" customHeight="1">
      <x:c r="A2" s="3"/>
      <x:c r="B2" s="3"/>
      <x:c r="C2" s="3"/>
      <x:c r="D2" s="3"/>
      <x:c r="E2" s="3"/>
      <x:c r="F2" s="3"/>
      <x:c r="G2" s="3"/>
      <x:c r="H2" s="3"/>
      <x:c r="I2" s="3"/>
      <x:c r="J2" s="3"/>
      <x:c r="K2" s="3"/>
      <x:c r="L2" s="3"/>
    </x:row>
    <x:row r="3" ht="38" customHeight="1">
      <x:c r="A3" s="7" t="str">
        <x:v>Skenario yang bisa diubah. Perhitungan tidak mengubah stok atau peluang aplikasi. Sel krem adalah input manajemen.</x:v>
      </x:c>
      <x:c r="B3" s="7"/>
      <x:c r="C3" s="7"/>
      <x:c r="D3" s="7"/>
      <x:c r="E3" s="7"/>
      <x:c r="F3" s="7"/>
      <x:c r="G3" s="7"/>
      <x:c r="H3" s="7"/>
      <x:c r="I3" s="7"/>
      <x:c r="J3" s="7"/>
      <x:c r="K3" s="7"/>
      <x:c r="L3" s="7"/>
    </x:row>
    <x:row r="4" ht="23" customHeight="1">
      <x:c r="A4" s="3" t="str">
        <x:v>Target permainan (asumsi)</x:v>
      </x:c>
      <x:c r="B4" s="3"/>
      <x:c r="C4" s="3"/>
      <x:c r="D4" s="3"/>
      <x:c r="E4" s="3" t="str">
        <x:v>Cadangan stok (asumsi)</x:v>
      </x:c>
      <x:c r="F4" s="3"/>
      <x:c r="G4" s="3"/>
      <x:c r="H4" s="3"/>
      <x:c r="I4" s="3" t="str">
        <x:v>Dasar perhitungan</x:v>
      </x:c>
      <x:c r="J4" s="3"/>
      <x:c r="K4" s="3"/>
      <x:c r="L4" s="3"/>
    </x:row>
    <x:row r="5" ht="30" customHeight="1">
      <x:c r="A5" s="31" t="n">
        <x:v>300</x:v>
      </x:c>
      <x:c r="B5" s="31"/>
      <x:c r="C5" s="31"/>
      <x:c r="D5" s="3"/>
      <x:c r="E5" s="28" t="n">
        <x:v>0.2</x:v>
      </x:c>
      <x:c r="F5" s="28"/>
      <x:c r="G5" s="28"/>
      <x:c r="H5" s="3"/>
      <x:c r="I5" s="16" t="str">
        <x:v>Peluang saat ini</x:v>
      </x:c>
      <x:c r="J5" s="16"/>
      <x:c r="K5" s="16"/>
      <x:c r="L5" s="16"/>
    </x:row>
    <x:row r="6" ht="23" customHeight="1">
      <x:c r="A6" s="3"/>
      <x:c r="B6" s="3"/>
      <x:c r="C6" s="3"/>
      <x:c r="D6" s="3"/>
      <x:c r="E6" s="3"/>
      <x:c r="F6" s="3"/>
      <x:c r="G6" s="3"/>
      <x:c r="H6" s="3"/>
      <x:c r="I6" s="3"/>
      <x:c r="J6" s="3"/>
      <x:c r="K6" s="3"/>
      <x:c r="L6" s="3"/>
    </x:row>
    <x:row r="7" ht="23" customHeight="1">
      <x:c r="A7" s="3" t="str">
        <x:v>Total rencana unit</x:v>
      </x:c>
      <x:c r="B7" s="3"/>
      <x:c r="C7" s="3"/>
      <x:c r="D7" s="3"/>
      <x:c r="E7" s="3" t="str">
        <x:v>Tambahan dari stok kini</x:v>
      </x:c>
      <x:c r="F7" s="3"/>
      <x:c r="G7" s="3"/>
      <x:c r="H7" s="3"/>
      <x:c r="I7" s="3" t="str">
        <x:v>Biaya hadiah skenario</x:v>
      </x:c>
      <x:c r="J7" s="3"/>
      <x:c r="K7" s="3"/>
      <x:c r="L7" s="3"/>
    </x:row>
    <x:row r="8" ht="23" customHeight="1">
      <x:c r="A8" s="33" t="n">
        <x:f>SUM(H14:H28)</x:f>
        <x:v>363</x:v>
      </x:c>
      <x:c r="B8" s="33"/>
      <x:c r="C8" s="33"/>
      <x:c r="D8" s="3"/>
      <x:c r="E8" s="33" t="n">
        <x:f>SUM(I14:I28)</x:f>
        <x:v>97</x:v>
      </x:c>
      <x:c r="F8" s="33"/>
      <x:c r="G8" s="33"/>
      <x:c r="H8" s="3"/>
      <x:c r="I8" s="34" t="str">
        <x:f>IF(COUNTIF(L14:L28,"Isi biaya riil")&gt;0,"Biaya belum lengkap",SUM(K14:K28))</x:f>
        <x:v>Biaya belum lengkap</x:v>
      </x:c>
      <x:c r="J8" s="33"/>
      <x:c r="K8" s="33"/>
      <x:c r="L8" s="33"/>
    </x:row>
    <x:row r="9" ht="23" customHeight="1">
      <x:c r="A9" s="33"/>
      <x:c r="B9" s="33"/>
      <x:c r="C9" s="33"/>
      <x:c r="D9" s="3"/>
      <x:c r="E9" s="33"/>
      <x:c r="F9" s="33"/>
      <x:c r="G9" s="33"/>
      <x:c r="H9" s="3"/>
      <x:c r="I9" s="33"/>
      <x:c r="J9" s="33"/>
      <x:c r="K9" s="33"/>
      <x:c r="L9" s="33"/>
    </x:row>
    <x:row r="10" ht="23" customHeight="1">
      <x:c r="A10" s="7" t="str">
        <x:f>IF(AND(I5="Aktual terfilter",'Ringkasan'!B5&lt;'Rekomendasi'!A5),"Sampel belum cukup untuk dasar aktual. Pilih Peluang saat ini atau tambah data.","Perkiraan linear + cadangan, dibulatkan per SKU; tidak mensimulasikan perubahan stok/scarcity. Bukan jaminan hadiah keluar. Biaya hanya hadiah, bukan biaya total acara.")</x:f>
        <x:v>Perkiraan linear + cadangan, dibulatkan per SKU; tidak mensimulasikan perubahan stok/scarcity. Bukan jaminan hadiah keluar. Biaya hanya hadiah, bukan biaya total acara.</x:v>
      </x:c>
      <x:c r="B10" s="7"/>
      <x:c r="C10" s="7"/>
      <x:c r="D10" s="7"/>
      <x:c r="E10" s="7"/>
      <x:c r="F10" s="7"/>
      <x:c r="G10" s="7"/>
      <x:c r="H10" s="7"/>
      <x:c r="I10" s="7"/>
      <x:c r="J10" s="7"/>
      <x:c r="K10" s="7"/>
      <x:c r="L10" s="7"/>
    </x:row>
    <x:row r="11" ht="23" customHeight="1">
      <x:c r="A11" s="7"/>
      <x:c r="B11" s="7"/>
      <x:c r="C11" s="7"/>
      <x:c r="D11" s="7"/>
      <x:c r="E11" s="7"/>
      <x:c r="F11" s="7"/>
      <x:c r="G11" s="7"/>
      <x:c r="H11" s="7"/>
      <x:c r="I11" s="7"/>
      <x:c r="J11" s="7"/>
      <x:c r="K11" s="7"/>
      <x:c r="L11" s="7"/>
    </x:row>
    <x:row r="12" ht="23" customHeight="1">
      <x:c r="A12" s="3"/>
      <x:c r="B12" s="3"/>
      <x:c r="C12" s="3"/>
      <x:c r="D12" s="3"/>
      <x:c r="E12" s="3"/>
      <x:c r="F12" s="3"/>
      <x:c r="G12" s="3"/>
      <x:c r="H12" s="3"/>
      <x:c r="I12" s="3"/>
      <x:c r="J12" s="3"/>
      <x:c r="K12" s="3"/>
      <x:c r="L12" s="3"/>
    </x:row>
    <x:row r="13" ht="38" customHeight="1">
      <x:c r="A13" s="9" t="str">
        <x:v>ID hadiah</x:v>
      </x:c>
      <x:c r="B13" s="9" t="str">
        <x:v>Nama hadiah asli</x:v>
      </x:c>
      <x:c r="C13" s="9" t="str">
        <x:v>Kategori</x:v>
      </x:c>
      <x:c r="D13" s="9" t="str">
        <x:v>Stok kini</x:v>
      </x:c>
      <x:c r="E13" s="9" t="str">
        <x:v>Peluang saat ekspor</x:v>
      </x:c>
      <x:c r="F13" s="9" t="str">
        <x:v>Keluar sesuai filter</x:v>
      </x:c>
      <x:c r="G13" s="9" t="str">
        <x:v>Porsi rencana</x:v>
      </x:c>
      <x:c r="H13" s="9" t="str">
        <x:v>Rencana unit</x:v>
      </x:c>
      <x:c r="I13" s="9" t="str">
        <x:v>Tambahan unit</x:v>
      </x:c>
      <x:c r="J13" s="9" t="str">
        <x:v>Biaya riil/unit (Rp)</x:v>
      </x:c>
      <x:c r="K13" s="9" t="str">
        <x:v>Biaya skenario (Rp)</x:v>
      </x:c>
      <x:c r="L13" s="9" t="str">
        <x:v>Catatan</x:v>
      </x:c>
    </x:row>
    <x:row r="14" ht="48" customHeight="1">
      <x:c r="A14" s="10" t="str">
        <x:f>'Inventori'!A6</x:f>
        <x:v>voucher-500000</x:v>
      </x:c>
      <x:c r="B14" s="10" t="str">
        <x:f>'Inventori'!B6</x:f>
        <x:v>Hadiah utama · Voucher Rp500.000</x:v>
      </x:c>
      <x:c r="C14" s="10" t="str">
        <x:f>'Inventori'!C6</x:f>
        <x:v>Hadiah utama</x:v>
      </x:c>
      <x:c r="D14" s="10" t="n">
        <x:f>'Inventori'!D6</x:f>
        <x:v>1</x:v>
      </x:c>
      <x:c r="E14" s="35" t="n">
        <x:v>0.002</x:v>
      </x:c>
      <x:c r="F14" s="10" t="n">
        <x:f>IF('Ringkasan'!$B$2,SUMIFS('Data Permainan'!$H$6:$H$6,'Data Permainan'!$B$6:$B$6,"&gt;="&amp;'Dashboard'!$A$5,'Data Permainan'!$B$6:$B$6,"&lt;"&amp;('Dashboard'!$E$5+1),'Data Permainan'!$C$6:$C$6,IF('Dashboard'!$I$5="Semua","*",'Dashboard'!$I$5),'Data Permainan'!$D$6:$D$6,A14),0)</x:f>
        <x:v>0</x:v>
      </x:c>
      <x:c r="G14" s="35" t="n">
        <x:f>IF($I$5="Aktual terfilter",IF(AND('Ringkasan'!$B$5&gt;='Rekomendasi'!$A$5,'Inventori'!E6="Ya"),IFERROR(F14/'Ringkasan'!$B$5,0),0),E14)</x:f>
        <x:v>0.002</x:v>
      </x:c>
      <x:c r="H14" s="10" t="n">
        <x:f>ROUNDUP($A$5*G14*(1+$E$5),0)</x:f>
        <x:v>1</x:v>
      </x:c>
      <x:c r="I14" s="10" t="n">
        <x:f>MAX(0,H14-D14)</x:f>
        <x:v>0</x:v>
      </x:c>
      <x:c r="J14" s="36"/>
      <x:c r="K14" s="37" t="str">
        <x:f>IF(H14=0,0,IF(ISNUMBER(J14),H14*J14,""))</x:f>
      </x:c>
      <x:c r="L14" s="10" t="str">
        <x:f>IF(H14=0,"Tidak dialokasikan",IF(ISNUMBER(J14),"Biaya diisi","Isi biaya riil"))</x:f>
        <x:v>Isi biaya riil</x:v>
      </x:c>
    </x:row>
    <x:row r="15" ht="48" customHeight="1">
      <x:c r="A15" s="10" t="str">
        <x:f>'Inventori'!A7</x:f>
        <x:v>bundle</x:v>
      </x:c>
      <x:c r="B15" s="10" t="str">
        <x:f>'Inventori'!B7</x:f>
        <x:v>Bundling produk skincare</x:v>
      </x:c>
      <x:c r="C15" s="10" t="str">
        <x:f>'Inventori'!C7</x:f>
        <x:v>Bundling</x:v>
      </x:c>
      <x:c r="D15" s="10" t="n">
        <x:f>'Inventori'!D7</x:f>
        <x:v>5</x:v>
      </x:c>
      <x:c r="E15" s="35" t="n">
        <x:v>0.02</x:v>
      </x:c>
      <x:c r="F15" s="10" t="n">
        <x:f>IF('Ringkasan'!$B$2,SUMIFS('Data Permainan'!$H$6:$H$6,'Data Permainan'!$B$6:$B$6,"&gt;="&amp;'Dashboard'!$A$5,'Data Permainan'!$B$6:$B$6,"&lt;"&amp;('Dashboard'!$E$5+1),'Data Permainan'!$C$6:$C$6,IF('Dashboard'!$I$5="Semua","*",'Dashboard'!$I$5),'Data Permainan'!$D$6:$D$6,A15),0)</x:f>
        <x:v>0</x:v>
      </x:c>
      <x:c r="G15" s="35" t="n">
        <x:f>IF($I$5="Aktual terfilter",IF(AND('Ringkasan'!$B$5&gt;='Rekomendasi'!$A$5,'Inventori'!E7="Ya"),IFERROR(F15/'Ringkasan'!$B$5,0),0),E15)</x:f>
        <x:v>0.02</x:v>
      </x:c>
      <x:c r="H15" s="10" t="n">
        <x:f>ROUNDUP($A$5*G15*(1+$E$5),0)</x:f>
        <x:v>8</x:v>
      </x:c>
      <x:c r="I15" s="10" t="n">
        <x:f>MAX(0,H15-D15)</x:f>
        <x:v>3</x:v>
      </x:c>
      <x:c r="J15" s="36"/>
      <x:c r="K15" s="37" t="str">
        <x:f>IF(H15=0,0,IF(ISNUMBER(J15),H15*J15,""))</x:f>
      </x:c>
      <x:c r="L15" s="10" t="str">
        <x:f>IF(H15=0,"Tidak dialokasikan",IF(ISNUMBER(J15),"Biaya diisi","Isi biaya riil"))</x:f>
        <x:v>Isi biaya riil</x:v>
      </x:c>
    </x:row>
    <x:row r="16" ht="48" customHeight="1">
      <x:c r="A16" s="10" t="str">
        <x:f>'Inventori'!A8</x:f>
        <x:v>voucher-25</x:v>
      </x:c>
      <x:c r="B16" s="10" t="str">
        <x:f>'Inventori'!B8</x:f>
        <x:v>Voucher potongan 25%</x:v>
      </x:c>
      <x:c r="C16" s="10" t="str">
        <x:f>'Inventori'!C8</x:f>
        <x:v>Voucher</x:v>
      </x:c>
      <x:c r="D16" s="10" t="n">
        <x:f>'Inventori'!D8</x:f>
        <x:v>20</x:v>
      </x:c>
      <x:c r="E16" s="35" t="n">
        <x:v>0.13305841924398626</x:v>
      </x:c>
      <x:c r="F16" s="10" t="n">
        <x:f>IF('Ringkasan'!$B$2,SUMIFS('Data Permainan'!$H$6:$H$6,'Data Permainan'!$B$6:$B$6,"&gt;="&amp;'Dashboard'!$A$5,'Data Permainan'!$B$6:$B$6,"&lt;"&amp;('Dashboard'!$E$5+1),'Data Permainan'!$C$6:$C$6,IF('Dashboard'!$I$5="Semua","*",'Dashboard'!$I$5),'Data Permainan'!$D$6:$D$6,A16),0)</x:f>
        <x:v>0</x:v>
      </x:c>
      <x:c r="G16" s="35" t="n">
        <x:f>IF($I$5="Aktual terfilter",IF(AND('Ringkasan'!$B$5&gt;='Rekomendasi'!$A$5,'Inventori'!E8="Ya"),IFERROR(F16/'Ringkasan'!$B$5,0),0),E16)</x:f>
        <x:v>0.13305841924398626</x:v>
      </x:c>
      <x:c r="H16" s="10" t="n">
        <x:f>ROUNDUP($A$5*G16*(1+$E$5),0)</x:f>
        <x:v>48</x:v>
      </x:c>
      <x:c r="I16" s="10" t="n">
        <x:f>MAX(0,H16-D16)</x:f>
        <x:v>28</x:v>
      </x:c>
      <x:c r="J16" s="36"/>
      <x:c r="K16" s="37" t="str">
        <x:f>IF(H16=0,0,IF(ISNUMBER(J16),H16*J16,""))</x:f>
      </x:c>
      <x:c r="L16" s="10" t="str">
        <x:f>IF(H16=0,"Tidak dialokasikan",IF(ISNUMBER(J16),"Biaya diisi","Isi biaya riil"))</x:f>
        <x:v>Isi biaya riil</x:v>
      </x:c>
    </x:row>
    <x:row r="17" ht="48" customHeight="1">
      <x:c r="A17" s="10" t="str">
        <x:f>'Inventori'!A9</x:f>
        <x:v>voucher-50</x:v>
      </x:c>
      <x:c r="B17" s="10" t="str">
        <x:f>'Inventori'!B9</x:f>
        <x:v>Voucher potongan 50%</x:v>
      </x:c>
      <x:c r="C17" s="10" t="str">
        <x:f>'Inventori'!C9</x:f>
        <x:v>Voucher</x:v>
      </x:c>
      <x:c r="D17" s="10" t="n">
        <x:f>'Inventori'!D9</x:f>
        <x:v>20</x:v>
      </x:c>
      <x:c r="E17" s="35" t="n">
        <x:v>0.13305841924398626</x:v>
      </x:c>
      <x:c r="F17" s="10" t="n">
        <x:f>IF('Ringkasan'!$B$2,SUMIFS('Data Permainan'!$H$6:$H$6,'Data Permainan'!$B$6:$B$6,"&gt;="&amp;'Dashboard'!$A$5,'Data Permainan'!$B$6:$B$6,"&lt;"&amp;('Dashboard'!$E$5+1),'Data Permainan'!$C$6:$C$6,IF('Dashboard'!$I$5="Semua","*",'Dashboard'!$I$5),'Data Permainan'!$D$6:$D$6,A17),0)</x:f>
        <x:v>0</x:v>
      </x:c>
      <x:c r="G17" s="35" t="n">
        <x:f>IF($I$5="Aktual terfilter",IF(AND('Ringkasan'!$B$5&gt;='Rekomendasi'!$A$5,'Inventori'!E9="Ya"),IFERROR(F17/'Ringkasan'!$B$5,0),0),E17)</x:f>
        <x:v>0.13305841924398626</x:v>
      </x:c>
      <x:c r="H17" s="10" t="n">
        <x:f>ROUNDUP($A$5*G17*(1+$E$5),0)</x:f>
        <x:v>48</x:v>
      </x:c>
      <x:c r="I17" s="10" t="n">
        <x:f>MAX(0,H17-D17)</x:f>
        <x:v>28</x:v>
      </x:c>
      <x:c r="J17" s="36"/>
      <x:c r="K17" s="37" t="str">
        <x:f>IF(H17=0,0,IF(ISNUMBER(J17),H17*J17,""))</x:f>
      </x:c>
      <x:c r="L17" s="10" t="str">
        <x:f>IF(H17=0,"Tidak dialokasikan",IF(ISNUMBER(J17),"Biaya diisi","Isi biaya riil"))</x:f>
        <x:v>Isi biaya riil</x:v>
      </x:c>
    </x:row>
    <x:row r="18" ht="48" customHeight="1">
      <x:c r="A18" s="10" t="str">
        <x:f>'Inventori'!A10</x:f>
        <x:v>voucher-100000</x:v>
      </x:c>
      <x:c r="B18" s="10" t="str">
        <x:f>'Inventori'!B10</x:f>
        <x:v>Voucher potongan Rp100.000</x:v>
      </x:c>
      <x:c r="C18" s="10" t="str">
        <x:f>'Inventori'!C10</x:f>
        <x:v>Voucher</x:v>
      </x:c>
      <x:c r="D18" s="10" t="n">
        <x:f>'Inventori'!D10</x:f>
        <x:v>20</x:v>
      </x:c>
      <x:c r="E18" s="35" t="n">
        <x:v>0.13305841924398626</x:v>
      </x:c>
      <x:c r="F18" s="10" t="n">
        <x:f>IF('Ringkasan'!$B$2,SUMIFS('Data Permainan'!$H$6:$H$6,'Data Permainan'!$B$6:$B$6,"&gt;="&amp;'Dashboard'!$A$5,'Data Permainan'!$B$6:$B$6,"&lt;"&amp;('Dashboard'!$E$5+1),'Data Permainan'!$C$6:$C$6,IF('Dashboard'!$I$5="Semua","*",'Dashboard'!$I$5),'Data Permainan'!$D$6:$D$6,A18),0)</x:f>
        <x:v>0</x:v>
      </x:c>
      <x:c r="G18" s="35" t="n">
        <x:f>IF($I$5="Aktual terfilter",IF(AND('Ringkasan'!$B$5&gt;='Rekomendasi'!$A$5,'Inventori'!E10="Ya"),IFERROR(F18/'Ringkasan'!$B$5,0),0),E18)</x:f>
        <x:v>0.13305841924398626</x:v>
      </x:c>
      <x:c r="H18" s="10" t="n">
        <x:f>ROUNDUP($A$5*G18*(1+$E$5),0)</x:f>
        <x:v>48</x:v>
      </x:c>
      <x:c r="I18" s="10" t="n">
        <x:f>MAX(0,H18-D18)</x:f>
        <x:v>28</x:v>
      </x:c>
      <x:c r="J18" s="36"/>
      <x:c r="K18" s="37" t="str">
        <x:f>IF(H18=0,0,IF(ISNUMBER(J18),H18*J18,""))</x:f>
      </x:c>
      <x:c r="L18" s="10" t="str">
        <x:f>IF(H18=0,"Tidak dialokasikan",IF(ISNUMBER(J18),"Biaya diisi","Isi biaya riil"))</x:f>
        <x:v>Isi biaya riil</x:v>
      </x:c>
    </x:row>
    <x:row r="19" ht="48" customHeight="1">
      <x:c r="A19" s="10" t="str">
        <x:f>'Inventori'!A11</x:f>
        <x:v>powder-000</x:v>
      </x:c>
      <x:c r="B19" s="10" t="str">
        <x:f>'Inventori'!B11</x:f>
        <x:v>Pinkflash Lasting Matte Loose Pressed Powder - 000</x:v>
      </x:c>
      <x:c r="C19" s="10" t="str">
        <x:f>'Inventori'!C11</x:f>
        <x:v>Produk</x:v>
      </x:c>
      <x:c r="D19" s="10" t="n">
        <x:f>'Inventori'!D11</x:f>
        <x:v>20</x:v>
      </x:c>
      <x:c r="E19" s="35" t="n">
        <x:v>0.05688247422680412</x:v>
      </x:c>
      <x:c r="F19" s="10" t="n">
        <x:f>IF('Ringkasan'!$B$2,SUMIFS('Data Permainan'!$H$6:$H$6,'Data Permainan'!$B$6:$B$6,"&gt;="&amp;'Dashboard'!$A$5,'Data Permainan'!$B$6:$B$6,"&lt;"&amp;('Dashboard'!$E$5+1),'Data Permainan'!$C$6:$C$6,IF('Dashboard'!$I$5="Semua","*",'Dashboard'!$I$5),'Data Permainan'!$D$6:$D$6,A19),0)</x:f>
        <x:v>0</x:v>
      </x:c>
      <x:c r="G19" s="35" t="n">
        <x:f>IF($I$5="Aktual terfilter",IF(AND('Ringkasan'!$B$5&gt;='Rekomendasi'!$A$5,'Inventori'!E11="Ya"),IFERROR(F19/'Ringkasan'!$B$5,0),0),E19)</x:f>
        <x:v>0.05688247422680412</x:v>
      </x:c>
      <x:c r="H19" s="10" t="n">
        <x:f>ROUNDUP($A$5*G19*(1+$E$5),0)</x:f>
        <x:v>21</x:v>
      </x:c>
      <x:c r="I19" s="10" t="n">
        <x:f>MAX(0,H19-D19)</x:f>
        <x:v>1</x:v>
      </x:c>
      <x:c r="J19" s="36"/>
      <x:c r="K19" s="37" t="str">
        <x:f>IF(H19=0,0,IF(ISNUMBER(J19),H19*J19,""))</x:f>
      </x:c>
      <x:c r="L19" s="10" t="str">
        <x:f>IF(H19=0,"Tidak dialokasikan",IF(ISNUMBER(J19),"Biaya diisi","Isi biaya riil"))</x:f>
        <x:v>Isi biaya riil</x:v>
      </x:c>
    </x:row>
    <x:row r="20" ht="48" customHeight="1">
      <x:c r="A20" s="10" t="str">
        <x:f>'Inventori'!A12</x:f>
        <x:v>foundation-04</x:v>
      </x:c>
      <x:c r="B20" s="10" t="str">
        <x:f>'Inventori'!B12</x:f>
        <x:v>FOCALLURE FLUID FOUNDATION FA30 - 04 trial size</x:v>
      </x:c>
      <x:c r="C20" s="10" t="str">
        <x:f>'Inventori'!C12</x:f>
        <x:v>Produk</x:v>
      </x:c>
      <x:c r="D20" s="10" t="n">
        <x:f>'Inventori'!D12</x:f>
        <x:v>20</x:v>
      </x:c>
      <x:c r="E20" s="35" t="n">
        <x:v>0.05688247422680412</x:v>
      </x:c>
      <x:c r="F20" s="10" t="n">
        <x:f>IF('Ringkasan'!$B$2,SUMIFS('Data Permainan'!$H$6:$H$6,'Data Permainan'!$B$6:$B$6,"&gt;="&amp;'Dashboard'!$A$5,'Data Permainan'!$B$6:$B$6,"&lt;"&amp;('Dashboard'!$E$5+1),'Data Permainan'!$C$6:$C$6,IF('Dashboard'!$I$5="Semua","*",'Dashboard'!$I$5),'Data Permainan'!$D$6:$D$6,A20),0)</x:f>
        <x:v>0</x:v>
      </x:c>
      <x:c r="G20" s="35" t="n">
        <x:f>IF($I$5="Aktual terfilter",IF(AND('Ringkasan'!$B$5&gt;='Rekomendasi'!$A$5,'Inventori'!E12="Ya"),IFERROR(F20/'Ringkasan'!$B$5,0),0),E20)</x:f>
        <x:v>0.05688247422680412</x:v>
      </x:c>
      <x:c r="H20" s="10" t="n">
        <x:f>ROUNDUP($A$5*G20*(1+$E$5),0)</x:f>
        <x:v>21</x:v>
      </x:c>
      <x:c r="I20" s="10" t="n">
        <x:f>MAX(0,H20-D20)</x:f>
        <x:v>1</x:v>
      </x:c>
      <x:c r="J20" s="36"/>
      <x:c r="K20" s="37" t="str">
        <x:f>IF(H20=0,0,IF(ISNUMBER(J20),H20*J20,""))</x:f>
      </x:c>
      <x:c r="L20" s="10" t="str">
        <x:f>IF(H20=0,"Tidak dialokasikan",IF(ISNUMBER(J20),"Biaya diisi","Isi biaya riil"))</x:f>
        <x:v>Isi biaya riil</x:v>
      </x:c>
    </x:row>
    <x:row r="21" ht="48" customHeight="1">
      <x:c r="A21" s="10" t="str">
        <x:f>'Inventori'!A13</x:f>
        <x:v>duo-m03</x:v>
      </x:c>
      <x:c r="B21" s="10" t="str">
        <x:f>'Inventori'!B13</x:f>
        <x:v>PINKFLASH DUO LIPGLOSS PF-L13 - M03</x:v>
      </x:c>
      <x:c r="C21" s="10" t="str">
        <x:f>'Inventori'!C13</x:f>
        <x:v>Produk</x:v>
      </x:c>
      <x:c r="D21" s="10" t="n">
        <x:f>'Inventori'!D13</x:f>
        <x:v>20</x:v>
      </x:c>
      <x:c r="E21" s="35" t="n">
        <x:v>0.05688247422680412</x:v>
      </x:c>
      <x:c r="F21" s="10" t="n">
        <x:f>IF('Ringkasan'!$B$2,SUMIFS('Data Permainan'!$H$6:$H$6,'Data Permainan'!$B$6:$B$6,"&gt;="&amp;'Dashboard'!$A$5,'Data Permainan'!$B$6:$B$6,"&lt;"&amp;('Dashboard'!$E$5+1),'Data Permainan'!$C$6:$C$6,IF('Dashboard'!$I$5="Semua","*",'Dashboard'!$I$5),'Data Permainan'!$D$6:$D$6,A21),0)</x:f>
        <x:v>0</x:v>
      </x:c>
      <x:c r="G21" s="35" t="n">
        <x:f>IF($I$5="Aktual terfilter",IF(AND('Ringkasan'!$B$5&gt;='Rekomendasi'!$A$5,'Inventori'!E13="Ya"),IFERROR(F21/'Ringkasan'!$B$5,0),0),E21)</x:f>
        <x:v>0.05688247422680412</x:v>
      </x:c>
      <x:c r="H21" s="10" t="n">
        <x:f>ROUNDUP($A$5*G21*(1+$E$5),0)</x:f>
        <x:v>21</x:v>
      </x:c>
      <x:c r="I21" s="10" t="n">
        <x:f>MAX(0,H21-D21)</x:f>
        <x:v>1</x:v>
      </x:c>
      <x:c r="J21" s="36"/>
      <x:c r="K21" s="37" t="str">
        <x:f>IF(H21=0,0,IF(ISNUMBER(J21),H21*J21,""))</x:f>
      </x:c>
      <x:c r="L21" s="10" t="str">
        <x:f>IF(H21=0,"Tidak dialokasikan",IF(ISNUMBER(J21),"Biaya diisi","Isi biaya riil"))</x:f>
        <x:v>Isi biaya riil</x:v>
      </x:c>
    </x:row>
    <x:row r="22" ht="48" customHeight="1">
      <x:c r="A22" s="10" t="str">
        <x:f>'Inventori'!A14</x:f>
        <x:v>salsa-vinilash</x:v>
      </x:c>
      <x:c r="B22" s="10" t="str">
        <x:f>'Inventori'!B14</x:f>
        <x:v>SALSA VINILASH</x:v>
      </x:c>
      <x:c r="C22" s="10" t="str">
        <x:f>'Inventori'!C14</x:f>
        <x:v>Produk</x:v>
      </x:c>
      <x:c r="D22" s="10" t="n">
        <x:f>'Inventori'!D14</x:f>
        <x:v>20</x:v>
      </x:c>
      <x:c r="E22" s="35" t="n">
        <x:v>0.05688247422680412</x:v>
      </x:c>
      <x:c r="F22" s="10" t="n">
        <x:f>IF('Ringkasan'!$B$2,SUMIFS('Data Permainan'!$H$6:$H$6,'Data Permainan'!$B$6:$B$6,"&gt;="&amp;'Dashboard'!$A$5,'Data Permainan'!$B$6:$B$6,"&lt;"&amp;('Dashboard'!$E$5+1),'Data Permainan'!$C$6:$C$6,IF('Dashboard'!$I$5="Semua","*",'Dashboard'!$I$5),'Data Permainan'!$D$6:$D$6,A22),0)</x:f>
        <x:v>0</x:v>
      </x:c>
      <x:c r="G22" s="35" t="n">
        <x:f>IF($I$5="Aktual terfilter",IF(AND('Ringkasan'!$B$5&gt;='Rekomendasi'!$A$5,'Inventori'!E14="Ya"),IFERROR(F22/'Ringkasan'!$B$5,0),0),E22)</x:f>
        <x:v>0.05688247422680412</x:v>
      </x:c>
      <x:c r="H22" s="10" t="n">
        <x:f>ROUNDUP($A$5*G22*(1+$E$5),0)</x:f>
        <x:v>21</x:v>
      </x:c>
      <x:c r="I22" s="10" t="n">
        <x:f>MAX(0,H22-D22)</x:f>
        <x:v>1</x:v>
      </x:c>
      <x:c r="J22" s="36"/>
      <x:c r="K22" s="37" t="str">
        <x:f>IF(H22=0,0,IF(ISNUMBER(J22),H22*J22,""))</x:f>
      </x:c>
      <x:c r="L22" s="10" t="str">
        <x:f>IF(H22=0,"Tidak dialokasikan",IF(ISNUMBER(J22),"Biaya diisi","Isi biaya riil"))</x:f>
        <x:v>Isi biaya riil</x:v>
      </x:c>
    </x:row>
    <x:row r="23" ht="48" customHeight="1">
      <x:c r="A23" s="10" t="str">
        <x:f>'Inventori'!A15</x:f>
        <x:v>stick-hs03</x:v>
      </x:c>
      <x:c r="B23" s="10" t="str">
        <x:f>'Inventori'!B15</x:f>
        <x:v>PINKFLASH DUO MAKEUP STICK PF-F21- HS03</x:v>
      </x:c>
      <x:c r="C23" s="10" t="str">
        <x:f>'Inventori'!C15</x:f>
        <x:v>Produk</x:v>
      </x:c>
      <x:c r="D23" s="10" t="n">
        <x:f>'Inventori'!D15</x:f>
        <x:v>20</x:v>
      </x:c>
      <x:c r="E23" s="35" t="n">
        <x:v>0.05688247422680412</x:v>
      </x:c>
      <x:c r="F23" s="10" t="n">
        <x:f>IF('Ringkasan'!$B$2,SUMIFS('Data Permainan'!$H$6:$H$6,'Data Permainan'!$B$6:$B$6,"&gt;="&amp;'Dashboard'!$A$5,'Data Permainan'!$B$6:$B$6,"&lt;"&amp;('Dashboard'!$E$5+1),'Data Permainan'!$C$6:$C$6,IF('Dashboard'!$I$5="Semua","*",'Dashboard'!$I$5),'Data Permainan'!$D$6:$D$6,A23),0)</x:f>
        <x:v>0</x:v>
      </x:c>
      <x:c r="G23" s="35" t="n">
        <x:f>IF($I$5="Aktual terfilter",IF(AND('Ringkasan'!$B$5&gt;='Rekomendasi'!$A$5,'Inventori'!E15="Ya"),IFERROR(F23/'Ringkasan'!$B$5,0),0),E23)</x:f>
        <x:v>0.05688247422680412</x:v>
      </x:c>
      <x:c r="H23" s="10" t="n">
        <x:f>ROUNDUP($A$5*G23*(1+$E$5),0)</x:f>
        <x:v>21</x:v>
      </x:c>
      <x:c r="I23" s="10" t="n">
        <x:f>MAX(0,H23-D23)</x:f>
        <x:v>1</x:v>
      </x:c>
      <x:c r="J23" s="36"/>
      <x:c r="K23" s="37" t="str">
        <x:f>IF(H23=0,0,IF(ISNUMBER(J23),H23*J23,""))</x:f>
      </x:c>
      <x:c r="L23" s="10" t="str">
        <x:f>IF(H23=0,"Tidak dialokasikan",IF(ISNUMBER(J23),"Biaya diisi","Isi biaya riil"))</x:f>
        <x:v>Isi biaya riil</x:v>
      </x:c>
    </x:row>
    <x:row r="24" ht="48" customHeight="1">
      <x:c r="A24" s="10" t="str">
        <x:f>'Inventori'!A16</x:f>
        <x:v>creamy-oroi</x:v>
      </x:c>
      <x:c r="B24" s="10" t="str">
        <x:f>'Inventori'!B16</x:f>
        <x:v>PINKFLASH CREAMY LIPGLOSS OROI</x:v>
      </x:c>
      <x:c r="C24" s="10" t="str">
        <x:f>'Inventori'!C16</x:f>
        <x:v>Produk</x:v>
      </x:c>
      <x:c r="D24" s="10" t="n">
        <x:f>'Inventori'!D16</x:f>
        <x:v>20</x:v>
      </x:c>
      <x:c r="E24" s="35" t="n">
        <x:v>0.05688247422680412</x:v>
      </x:c>
      <x:c r="F24" s="10" t="n">
        <x:f>IF('Ringkasan'!$B$2,SUMIFS('Data Permainan'!$H$6:$H$6,'Data Permainan'!$B$6:$B$6,"&gt;="&amp;'Dashboard'!$A$5,'Data Permainan'!$B$6:$B$6,"&lt;"&amp;('Dashboard'!$E$5+1),'Data Permainan'!$C$6:$C$6,IF('Dashboard'!$I$5="Semua","*",'Dashboard'!$I$5),'Data Permainan'!$D$6:$D$6,A24),0)</x:f>
        <x:v>0</x:v>
      </x:c>
      <x:c r="G24" s="35" t="n">
        <x:f>IF($I$5="Aktual terfilter",IF(AND('Ringkasan'!$B$5&gt;='Rekomendasi'!$A$5,'Inventori'!E16="Ya"),IFERROR(F24/'Ringkasan'!$B$5,0),0),E24)</x:f>
        <x:v>0.05688247422680412</x:v>
      </x:c>
      <x:c r="H24" s="10" t="n">
        <x:f>ROUNDUP($A$5*G24*(1+$E$5),0)</x:f>
        <x:v>21</x:v>
      </x:c>
      <x:c r="I24" s="10" t="n">
        <x:f>MAX(0,H24-D24)</x:f>
        <x:v>1</x:v>
      </x:c>
      <x:c r="J24" s="36"/>
      <x:c r="K24" s="37" t="str">
        <x:f>IF(H24=0,0,IF(ISNUMBER(J24),H24*J24,""))</x:f>
      </x:c>
      <x:c r="L24" s="10" t="str">
        <x:f>IF(H24=0,"Tidak dialokasikan",IF(ISNUMBER(J24),"Biaya diisi","Isi biaya riil"))</x:f>
        <x:v>Isi biaya riil</x:v>
      </x:c>
    </x:row>
    <x:row r="25" ht="48" customHeight="1">
      <x:c r="A25" s="10" t="str">
        <x:f>'Inventori'!A17</x:f>
        <x:v>creamy-rdoi</x:v>
      </x:c>
      <x:c r="B25" s="10" t="str">
        <x:f>'Inventori'!B17</x:f>
        <x:v>PINKFLASH CREAMY LIPGLOSS RDOI</x:v>
      </x:c>
      <x:c r="C25" s="10" t="str">
        <x:f>'Inventori'!C17</x:f>
        <x:v>Produk</x:v>
      </x:c>
      <x:c r="D25" s="10" t="n">
        <x:f>'Inventori'!D17</x:f>
        <x:v>20</x:v>
      </x:c>
      <x:c r="E25" s="35" t="n">
        <x:v>0.05688247422680412</x:v>
      </x:c>
      <x:c r="F25" s="10" t="n">
        <x:f>IF('Ringkasan'!$B$2,SUMIFS('Data Permainan'!$H$6:$H$6,'Data Permainan'!$B$6:$B$6,"&gt;="&amp;'Dashboard'!$A$5,'Data Permainan'!$B$6:$B$6,"&lt;"&amp;('Dashboard'!$E$5+1),'Data Permainan'!$C$6:$C$6,IF('Dashboard'!$I$5="Semua","*",'Dashboard'!$I$5),'Data Permainan'!$D$6:$D$6,A25),0)</x:f>
        <x:v>0</x:v>
      </x:c>
      <x:c r="G25" s="35" t="n">
        <x:f>IF($I$5="Aktual terfilter",IF(AND('Ringkasan'!$B$5&gt;='Rekomendasi'!$A$5,'Inventori'!E17="Ya"),IFERROR(F25/'Ringkasan'!$B$5,0),0),E25)</x:f>
        <x:v>0.05688247422680412</x:v>
      </x:c>
      <x:c r="H25" s="10" t="n">
        <x:f>ROUNDUP($A$5*G25*(1+$E$5),0)</x:f>
        <x:v>21</x:v>
      </x:c>
      <x:c r="I25" s="10" t="n">
        <x:f>MAX(0,H25-D25)</x:f>
        <x:v>1</x:v>
      </x:c>
      <x:c r="J25" s="36"/>
      <x:c r="K25" s="37" t="str">
        <x:f>IF(H25=0,0,IF(ISNUMBER(J25),H25*J25,""))</x:f>
      </x:c>
      <x:c r="L25" s="10" t="str">
        <x:f>IF(H25=0,"Tidak dialokasikan",IF(ISNUMBER(J25),"Biaya diisi","Isi biaya riil"))</x:f>
        <x:v>Isi biaya riil</x:v>
      </x:c>
    </x:row>
    <x:row r="26" ht="48" customHeight="1">
      <x:c r="A26" s="10" t="str">
        <x:f>'Inventori'!A18</x:f>
        <x:v>foundation-03</x:v>
      </x:c>
      <x:c r="B26" s="10" t="str">
        <x:f>'Inventori'!B18</x:f>
        <x:v>FOCALLURE FLUID FOUNDATION FA30 - 03 trial size</x:v>
      </x:c>
      <x:c r="C26" s="10" t="str">
        <x:f>'Inventori'!C18</x:f>
        <x:v>Produk</x:v>
      </x:c>
      <x:c r="D26" s="10" t="n">
        <x:f>'Inventori'!D18</x:f>
        <x:v>20</x:v>
      </x:c>
      <x:c r="E26" s="35" t="n">
        <x:v>0.05688247422680412</x:v>
      </x:c>
      <x:c r="F26" s="10" t="n">
        <x:f>IF('Ringkasan'!$B$2,SUMIFS('Data Permainan'!$H$6:$H$6,'Data Permainan'!$B$6:$B$6,"&gt;="&amp;'Dashboard'!$A$5,'Data Permainan'!$B$6:$B$6,"&lt;"&amp;('Dashboard'!$E$5+1),'Data Permainan'!$C$6:$C$6,IF('Dashboard'!$I$5="Semua","*",'Dashboard'!$I$5),'Data Permainan'!$D$6:$D$6,A26),0)</x:f>
        <x:v>0</x:v>
      </x:c>
      <x:c r="G26" s="35" t="n">
        <x:f>IF($I$5="Aktual terfilter",IF(AND('Ringkasan'!$B$5&gt;='Rekomendasi'!$A$5,'Inventori'!E18="Ya"),IFERROR(F26/'Ringkasan'!$B$5,0),0),E26)</x:f>
        <x:v>0.05688247422680412</x:v>
      </x:c>
      <x:c r="H26" s="10" t="n">
        <x:f>ROUNDUP($A$5*G26*(1+$E$5),0)</x:f>
        <x:v>21</x:v>
      </x:c>
      <x:c r="I26" s="10" t="n">
        <x:f>MAX(0,H26-D26)</x:f>
        <x:v>1</x:v>
      </x:c>
      <x:c r="J26" s="36"/>
      <x:c r="K26" s="37" t="str">
        <x:f>IF(H26=0,0,IF(ISNUMBER(J26),H26*J26,""))</x:f>
      </x:c>
      <x:c r="L26" s="10" t="str">
        <x:f>IF(H26=0,"Tidak dialokasikan",IF(ISNUMBER(J26),"Biaya diisi","Isi biaya riil"))</x:f>
        <x:v>Isi biaya riil</x:v>
      </x:c>
    </x:row>
    <x:row r="27" ht="48" customHeight="1">
      <x:c r="A27" s="10" t="str">
        <x:f>'Inventori'!A19</x:f>
        <x:v>powder-222</x:v>
      </x:c>
      <x:c r="B27" s="10" t="str">
        <x:f>'Inventori'!B19</x:f>
        <x:v>Pinkflash Lasting Matte Loose Pressed Powder - 222</x:v>
      </x:c>
      <x:c r="C27" s="10" t="str">
        <x:f>'Inventori'!C19</x:f>
        <x:v>Produk</x:v>
      </x:c>
      <x:c r="D27" s="10" t="n">
        <x:f>'Inventori'!D19</x:f>
        <x:v>20</x:v>
      </x:c>
      <x:c r="E27" s="35" t="n">
        <x:v>0.05688247422680412</x:v>
      </x:c>
      <x:c r="F27" s="10" t="n">
        <x:f>IF('Ringkasan'!$B$2,SUMIFS('Data Permainan'!$H$6:$H$6,'Data Permainan'!$B$6:$B$6,"&gt;="&amp;'Dashboard'!$A$5,'Data Permainan'!$B$6:$B$6,"&lt;"&amp;('Dashboard'!$E$5+1),'Data Permainan'!$C$6:$C$6,IF('Dashboard'!$I$5="Semua","*",'Dashboard'!$I$5),'Data Permainan'!$D$6:$D$6,A27),0)</x:f>
        <x:v>0</x:v>
      </x:c>
      <x:c r="G27" s="35" t="n">
        <x:f>IF($I$5="Aktual terfilter",IF(AND('Ringkasan'!$B$5&gt;='Rekomendasi'!$A$5,'Inventori'!E19="Ya"),IFERROR(F27/'Ringkasan'!$B$5,0),0),E27)</x:f>
        <x:v>0.05688247422680412</x:v>
      </x:c>
      <x:c r="H27" s="10" t="n">
        <x:f>ROUNDUP($A$5*G27*(1+$E$5),0)</x:f>
        <x:v>21</x:v>
      </x:c>
      <x:c r="I27" s="10" t="n">
        <x:f>MAX(0,H27-D27)</x:f>
        <x:v>1</x:v>
      </x:c>
      <x:c r="J27" s="36"/>
      <x:c r="K27" s="37" t="str">
        <x:f>IF(H27=0,0,IF(ISNUMBER(J27),H27*J27,""))</x:f>
      </x:c>
      <x:c r="L27" s="10" t="str">
        <x:f>IF(H27=0,"Tidak dialokasikan",IF(ISNUMBER(J27),"Biaya diisi","Isi biaya riil"))</x:f>
        <x:v>Isi biaya riil</x:v>
      </x:c>
    </x:row>
    <x:row r="28" ht="48" customHeight="1">
      <x:c r="A28" s="10" t="str">
        <x:f>'Inventori'!A20</x:f>
        <x:v>lip-oil</x:v>
      </x:c>
      <x:c r="B28" s="10" t="str">
        <x:f>'Inventori'!B20</x:f>
        <x:v>Pinkflash Care Plus Lip Oil PF-L12</x:v>
      </x:c>
      <x:c r="C28" s="10" t="str">
        <x:f>'Inventori'!C20</x:f>
        <x:v>Produk</x:v>
      </x:c>
      <x:c r="D28" s="10" t="n">
        <x:f>'Inventori'!D20</x:f>
        <x:v>20</x:v>
      </x:c>
      <x:c r="E28" s="35" t="n">
        <x:v>0.05688247422680412</x:v>
      </x:c>
      <x:c r="F28" s="10" t="n">
        <x:f>IF('Ringkasan'!$B$2,SUMIFS('Data Permainan'!$H$6:$H$6,'Data Permainan'!$B$6:$B$6,"&gt;="&amp;'Dashboard'!$A$5,'Data Permainan'!$B$6:$B$6,"&lt;"&amp;('Dashboard'!$E$5+1),'Data Permainan'!$C$6:$C$6,IF('Dashboard'!$I$5="Semua","*",'Dashboard'!$I$5),'Data Permainan'!$D$6:$D$6,A28),0)</x:f>
        <x:v>0</x:v>
      </x:c>
      <x:c r="G28" s="35" t="n">
        <x:f>IF($I$5="Aktual terfilter",IF(AND('Ringkasan'!$B$5&gt;='Rekomendasi'!$A$5,'Inventori'!E20="Ya"),IFERROR(F28/'Ringkasan'!$B$5,0),0),E28)</x:f>
        <x:v>0.05688247422680412</x:v>
      </x:c>
      <x:c r="H28" s="10" t="n">
        <x:f>ROUNDUP($A$5*G28*(1+$E$5),0)</x:f>
        <x:v>21</x:v>
      </x:c>
      <x:c r="I28" s="10" t="n">
        <x:f>MAX(0,H28-D28)</x:f>
        <x:v>1</x:v>
      </x:c>
      <x:c r="J28" s="36"/>
      <x:c r="K28" s="37" t="str">
        <x:f>IF(H28=0,0,IF(ISNUMBER(J28),H28*J28,""))</x:f>
      </x:c>
      <x:c r="L28" s="10" t="str">
        <x:f>IF(H28=0,"Tidak dialokasikan",IF(ISNUMBER(J28),"Biaya diisi","Isi biaya riil"))</x:f>
        <x:v>Isi biaya riil</x:v>
      </x:c>
    </x:row>
    <x:row r="29" ht="23" customHeight="1">
      <x:c r="A29" s="3"/>
      <x:c r="B29" s="3"/>
      <x:c r="C29" s="3"/>
      <x:c r="D29" s="3"/>
      <x:c r="E29" s="3"/>
      <x:c r="F29" s="3"/>
      <x:c r="G29" s="3"/>
      <x:c r="H29" s="3"/>
      <x:c r="I29" s="3"/>
      <x:c r="J29" s="3"/>
      <x:c r="K29" s="3"/>
      <x:c r="L29" s="3"/>
    </x:row>
    <x:row r="30" ht="23" customHeight="1">
      <x:c r="A30" s="3"/>
      <x:c r="B30" s="3"/>
      <x:c r="C30" s="3"/>
      <x:c r="D30" s="3"/>
      <x:c r="E30" s="3"/>
      <x:c r="F30" s="3"/>
      <x:c r="G30" s="3"/>
      <x:c r="H30" s="3"/>
      <x:c r="I30" s="3"/>
      <x:c r="J30" s="3"/>
      <x:c r="K30" s="3"/>
      <x:c r="L30" s="3"/>
    </x:row>
    <x:row r="31" ht="23" customHeight="1">
      <x:c r="A31" s="3"/>
      <x:c r="B31" s="3"/>
      <x:c r="C31" s="3"/>
      <x:c r="D31" s="3"/>
      <x:c r="E31" s="3"/>
      <x:c r="F31" s="3"/>
      <x:c r="G31" s="3"/>
      <x:c r="H31" s="3"/>
      <x:c r="I31" s="3"/>
      <x:c r="J31" s="3"/>
      <x:c r="K31" s="3"/>
      <x:c r="L31" s="3"/>
    </x:row>
    <x:row r="32" ht="23" customHeight="1">
      <x:c r="A32" s="3"/>
      <x:c r="B32" s="3"/>
      <x:c r="C32" s="3"/>
      <x:c r="D32" s="3"/>
      <x:c r="E32" s="3"/>
      <x:c r="F32" s="3"/>
      <x:c r="G32" s="3"/>
      <x:c r="H32" s="3"/>
      <x:c r="I32" s="3"/>
      <x:c r="J32" s="3"/>
      <x:c r="K32" s="3"/>
      <x:c r="L32" s="3"/>
    </x:row>
    <x:row r="33" ht="23" customHeight="1">
      <x:c r="A33" s="3"/>
      <x:c r="B33" s="3"/>
      <x:c r="C33" s="3"/>
      <x:c r="D33" s="3"/>
      <x:c r="E33" s="3"/>
      <x:c r="F33" s="3"/>
      <x:c r="G33" s="3"/>
      <x:c r="H33" s="3"/>
      <x:c r="I33" s="3"/>
      <x:c r="J33" s="3"/>
      <x:c r="K33" s="3"/>
      <x:c r="L33" s="3"/>
    </x:row>
    <x:row r="34" ht="23" customHeight="1">
      <x:c r="A34" s="3"/>
      <x:c r="B34" s="3"/>
      <x:c r="C34" s="3"/>
      <x:c r="D34" s="3"/>
      <x:c r="E34" s="3"/>
      <x:c r="F34" s="3"/>
      <x:c r="G34" s="3"/>
      <x:c r="H34" s="3"/>
      <x:c r="I34" s="3"/>
      <x:c r="J34" s="3"/>
      <x:c r="K34" s="3"/>
      <x:c r="L34" s="3"/>
    </x:row>
    <x:row r="35" ht="23" customHeight="1">
      <x:c r="A35" s="3"/>
      <x:c r="B35" s="3"/>
      <x:c r="C35" s="3"/>
      <x:c r="D35" s="3"/>
      <x:c r="E35" s="3"/>
      <x:c r="F35" s="3"/>
      <x:c r="G35" s="3"/>
      <x:c r="H35" s="3"/>
      <x:c r="I35" s="3"/>
      <x:c r="J35" s="3"/>
      <x:c r="K35" s="3"/>
      <x:c r="L35" s="3"/>
    </x:row>
    <x:row r="36" ht="23" customHeight="1">
      <x:c r="A36" s="3"/>
      <x:c r="B36" s="3"/>
      <x:c r="C36" s="3"/>
      <x:c r="D36" s="3"/>
      <x:c r="E36" s="3"/>
      <x:c r="F36" s="3"/>
      <x:c r="G36" s="3"/>
      <x:c r="H36" s="3"/>
      <x:c r="I36" s="3"/>
      <x:c r="J36" s="3"/>
      <x:c r="K36" s="3"/>
      <x:c r="L36" s="3"/>
    </x:row>
    <x:row r="37" ht="23" customHeight="1">
      <x:c r="A37" s="3"/>
      <x:c r="B37" s="3"/>
      <x:c r="C37" s="3"/>
      <x:c r="D37" s="3"/>
      <x:c r="E37" s="3"/>
      <x:c r="F37" s="3"/>
      <x:c r="G37" s="3"/>
      <x:c r="H37" s="3"/>
      <x:c r="I37" s="3"/>
      <x:c r="J37" s="3"/>
      <x:c r="K37" s="3"/>
      <x:c r="L37" s="3"/>
    </x:row>
    <x:row r="38" ht="23" customHeight="1">
      <x:c r="A38" s="3"/>
      <x:c r="B38" s="3"/>
      <x:c r="C38" s="3"/>
      <x:c r="D38" s="3"/>
      <x:c r="E38" s="3"/>
      <x:c r="F38" s="3"/>
      <x:c r="G38" s="3"/>
      <x:c r="H38" s="3"/>
      <x:c r="I38" s="3"/>
      <x:c r="J38" s="3"/>
      <x:c r="K38" s="3"/>
      <x:c r="L38" s="3"/>
    </x:row>
    <x:row r="39" ht="23" customHeight="1">
      <x:c r="A39" s="3"/>
      <x:c r="B39" s="3"/>
      <x:c r="C39" s="3"/>
      <x:c r="D39" s="3"/>
      <x:c r="E39" s="3"/>
      <x:c r="F39" s="3"/>
      <x:c r="G39" s="3"/>
      <x:c r="H39" s="3"/>
      <x:c r="I39" s="3"/>
      <x:c r="J39" s="3"/>
      <x:c r="K39" s="3"/>
      <x:c r="L39" s="3"/>
    </x:row>
    <x:row r="40" ht="23" customHeight="1">
      <x:c r="A40" s="3"/>
      <x:c r="B40" s="3"/>
      <x:c r="C40" s="3"/>
      <x:c r="D40" s="3"/>
      <x:c r="E40" s="3"/>
      <x:c r="F40" s="3"/>
      <x:c r="G40" s="3"/>
      <x:c r="H40" s="3"/>
      <x:c r="I40" s="3"/>
      <x:c r="J40" s="3"/>
      <x:c r="K40" s="3"/>
      <x:c r="L40" s="3"/>
    </x:row>
    <x:row r="41" ht="23" customHeight="1">
      <x:c r="A41" s="3"/>
      <x:c r="B41" s="3"/>
      <x:c r="C41" s="3"/>
      <x:c r="D41" s="3"/>
      <x:c r="E41" s="3"/>
      <x:c r="F41" s="3"/>
      <x:c r="G41" s="3"/>
      <x:c r="H41" s="3"/>
      <x:c r="I41" s="3"/>
      <x:c r="J41" s="3"/>
      <x:c r="K41" s="3"/>
      <x:c r="L41" s="3"/>
    </x:row>
    <x:row r="42" ht="23" customHeight="1">
      <x:c r="A42" s="3"/>
      <x:c r="B42" s="3"/>
      <x:c r="C42" s="3"/>
      <x:c r="D42" s="3"/>
      <x:c r="E42" s="3"/>
      <x:c r="F42" s="3"/>
      <x:c r="G42" s="3"/>
      <x:c r="H42" s="3"/>
      <x:c r="I42" s="3"/>
      <x:c r="J42" s="3"/>
      <x:c r="K42" s="3"/>
      <x:c r="L42" s="3"/>
    </x:row>
    <x:row r="43" ht="23" customHeight="1">
      <x:c r="A43" s="3"/>
      <x:c r="B43" s="3"/>
      <x:c r="C43" s="3"/>
      <x:c r="D43" s="3"/>
      <x:c r="E43" s="3"/>
      <x:c r="F43" s="3"/>
      <x:c r="G43" s="3"/>
      <x:c r="H43" s="3"/>
      <x:c r="I43" s="3"/>
      <x:c r="J43" s="3"/>
      <x:c r="K43" s="3"/>
      <x:c r="L43" s="3"/>
    </x:row>
    <x:row r="44" ht="23" customHeight="1">
      <x:c r="A44" s="3"/>
      <x:c r="B44" s="3"/>
      <x:c r="C44" s="3"/>
      <x:c r="D44" s="3"/>
      <x:c r="E44" s="3"/>
      <x:c r="F44" s="3"/>
      <x:c r="G44" s="3"/>
      <x:c r="H44" s="3"/>
      <x:c r="I44" s="3"/>
      <x:c r="J44" s="3"/>
      <x:c r="K44" s="3"/>
      <x:c r="L44" s="3"/>
    </x:row>
    <x:row r="45" ht="23" customHeight="1">
      <x:c r="A45" s="3"/>
      <x:c r="B45" s="3"/>
      <x:c r="C45" s="3"/>
      <x:c r="D45" s="3"/>
      <x:c r="E45" s="3"/>
      <x:c r="F45" s="3"/>
      <x:c r="G45" s="3"/>
      <x:c r="H45" s="3"/>
      <x:c r="I45" s="3"/>
      <x:c r="J45" s="3"/>
      <x:c r="K45" s="3"/>
      <x:c r="L45" s="3"/>
    </x:row>
    <x:row r="46" ht="23" customHeight="1">
      <x:c r="A46" s="3"/>
      <x:c r="B46" s="3"/>
      <x:c r="C46" s="3"/>
      <x:c r="D46" s="3"/>
      <x:c r="E46" s="3"/>
      <x:c r="F46" s="3"/>
      <x:c r="G46" s="3"/>
      <x:c r="H46" s="3"/>
      <x:c r="I46" s="3"/>
      <x:c r="J46" s="3"/>
      <x:c r="K46" s="3"/>
      <x:c r="L46" s="3"/>
    </x:row>
    <x:row r="47" ht="23" customHeight="1">
      <x:c r="A47" s="3"/>
      <x:c r="B47" s="3"/>
      <x:c r="C47" s="3"/>
      <x:c r="D47" s="3"/>
      <x:c r="E47" s="3"/>
      <x:c r="F47" s="3"/>
      <x:c r="G47" s="3"/>
      <x:c r="H47" s="3"/>
      <x:c r="I47" s="3"/>
      <x:c r="J47" s="3"/>
      <x:c r="K47" s="3"/>
      <x:c r="L47" s="3"/>
    </x:row>
    <x:row r="48" ht="23" customHeight="1">
      <x:c r="A48" s="3"/>
      <x:c r="B48" s="3"/>
      <x:c r="C48" s="3"/>
      <x:c r="D48" s="3"/>
      <x:c r="E48" s="3"/>
      <x:c r="F48" s="3"/>
      <x:c r="G48" s="3"/>
      <x:c r="H48" s="3"/>
      <x:c r="I48" s="3"/>
      <x:c r="J48" s="3"/>
      <x:c r="K48" s="3"/>
      <x:c r="L48" s="3"/>
    </x:row>
    <x:row r="49" ht="23" customHeight="1">
      <x:c r="A49" s="3"/>
      <x:c r="B49" s="3"/>
      <x:c r="C49" s="3"/>
      <x:c r="D49" s="3"/>
      <x:c r="E49" s="3"/>
      <x:c r="F49" s="3"/>
      <x:c r="G49" s="3"/>
      <x:c r="H49" s="3"/>
      <x:c r="I49" s="3"/>
      <x:c r="J49" s="3"/>
      <x:c r="K49" s="3"/>
      <x:c r="L49" s="3"/>
    </x:row>
    <x:row r="50" ht="23" customHeight="1">
      <x:c r="A50" s="3"/>
      <x:c r="B50" s="3"/>
      <x:c r="C50" s="3"/>
      <x:c r="D50" s="3"/>
      <x:c r="E50" s="3"/>
      <x:c r="F50" s="3"/>
      <x:c r="G50" s="3"/>
      <x:c r="H50" s="3"/>
      <x:c r="I50" s="3"/>
      <x:c r="J50" s="3"/>
      <x:c r="K50" s="3"/>
      <x:c r="L50" s="3"/>
    </x:row>
  </x:sheetData>
  <x:mergeCells>
    <x:mergeCell ref="A1:L1"/>
    <x:mergeCell ref="A3:L3"/>
    <x:mergeCell ref="A4:C4"/>
    <x:mergeCell ref="E4:G4"/>
    <x:mergeCell ref="I4:L4"/>
    <x:mergeCell ref="A5:C5"/>
    <x:mergeCell ref="E5:G5"/>
    <x:mergeCell ref="I5:L5"/>
    <x:mergeCell ref="A7:C7"/>
    <x:mergeCell ref="E7:G7"/>
    <x:mergeCell ref="I7:L7"/>
    <x:mergeCell ref="A8:C9"/>
    <x:mergeCell ref="E8:G9"/>
    <x:mergeCell ref="I8:L9"/>
    <x:mergeCell ref="A10:L11"/>
  </x:mergeCells>
  <x:conditionalFormatting sqref="I14:I28">
    <x:cfRule type="cellIs" dxfId="1" priority="1" operator="greaterThan">
      <x:formula>0</x:formula>
    </x:cfRule>
  </x:conditionalFormatting>
  <x:dataValidations count="4">
    <x:dataValidation type="list" sqref="I5">
      <x:formula1>"Peluang saat ini,Aktual terfilter"</x:formula1>
    </x:dataValidation>
    <x:dataValidation type="whole" operator="between" sqref="A5">
      <x:formula1>1</x:formula1>
      <x:formula2>1000000</x:formula2>
    </x:dataValidation>
    <x:dataValidation type="decimal" operator="between" sqref="E5">
      <x:formula1>0</x:formula1>
      <x:formula2>2</x:formula2>
    </x:dataValidation>
    <x:dataValidation type="decimal" operator="between" sqref="J14:J28">
      <x:formula1>0</x:formula1>
      <x:formula2>1000000000</x:formula2>
    </x:dataValidation>
  </x:dataValidations>
  <x:pageMargins left="0.7" right="0.7" top="0.75" bottom="0.75" header="0.3" footer="0.3"/>
  <x:tableParts count="1">
    <x:tablePart xmlns:r="http://schemas.openxmlformats.org/officeDocument/2006/relationships" r:id="R3a8ad1b885c546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9" hidden="0" customWidth="1"/>
    <x:col min="3" max="3" width="19" hidden="0" customWidth="1"/>
    <x:col min="4" max="4" width="14" hidden="0" customWidth="1"/>
    <x:col min="5" max="5" width="10" hidden="0" customWidth="1"/>
    <x:col min="6" max="6" width="26" hidden="0" customWidth="1"/>
    <x:col min="7" max="7" width="30" hidden="0" customWidth="1"/>
    <x:col min="8" max="8" width="15" hidden="0" customWidth="1"/>
    <x:col min="9" max="9" width="15" hidden="0" customWidth="1"/>
    <x:col min="10" max="10" width="20" hidden="0" customWidth="1"/>
    <x:col min="11" max="11" width="62" hidden="0" customWidth="1"/>
    <x:col min="12" max="12" width="40" hidden="0" customWidth="1"/>
  </x:cols>
  <x:sheetData>
    <x:row r="1" ht="48" customHeight="1">
      <x:c r="A1" s="5" t="str">
        <x:v>INVENTORI / SNAPSHOT</x:v>
      </x:c>
      <x:c r="B1" s="5"/>
      <x:c r="C1" s="5"/>
      <x:c r="D1" s="5"/>
      <x:c r="E1" s="5"/>
      <x:c r="F1" s="5"/>
      <x:c r="G1" s="5"/>
      <x:c r="H1" s="5"/>
      <x:c r="I1" s="5"/>
      <x:c r="J1" s="5"/>
      <x:c r="K1" s="5"/>
      <x:c r="L1" s="5"/>
    </x:row>
    <x:row r="2" ht="23" customHeight="1">
      <x:c r="A2" s="3"/>
      <x:c r="B2" s="3"/>
      <x:c r="C2" s="3"/>
      <x:c r="D2" s="3"/>
      <x:c r="E2" s="3"/>
      <x:c r="F2" s="3"/>
      <x:c r="G2" s="3"/>
      <x:c r="H2" s="3"/>
      <x:c r="I2" s="3"/>
      <x:c r="J2" s="3"/>
      <x:c r="K2" s="3"/>
      <x:c r="L2" s="3"/>
    </x:row>
    <x:row r="3" ht="38" customHeight="1">
      <x:c r="A3" s="7" t="str">
        <x:v>Stok ini adalah sisa saat ekspor, bukan stok awal atau saldo pada tanggal filter. Status foto hanya catatan opsional.</x:v>
      </x:c>
      <x:c r="B3" s="7"/>
      <x:c r="C3" s="7"/>
      <x:c r="D3" s="7"/>
      <x:c r="E3" s="7"/>
      <x:c r="F3" s="7"/>
      <x:c r="G3" s="7"/>
      <x:c r="H3" s="7"/>
      <x:c r="I3" s="7"/>
      <x:c r="J3" s="7"/>
      <x:c r="K3" s="7"/>
      <x:c r="L3" s="7"/>
    </x:row>
    <x:row r="4" ht="23" customHeight="1">
      <x:c r="A4" s="3"/>
      <x:c r="B4" s="3"/>
      <x:c r="C4" s="3"/>
      <x:c r="D4" s="3"/>
      <x:c r="E4" s="3"/>
      <x:c r="F4" s="3"/>
      <x:c r="G4" s="3"/>
      <x:c r="H4" s="3"/>
      <x:c r="I4" s="3"/>
      <x:c r="J4" s="3"/>
      <x:c r="K4" s="3"/>
      <x:c r="L4" s="3"/>
    </x:row>
    <x:row r="5" ht="38" customHeight="1">
      <x:c r="A5" s="9" t="str">
        <x:v>ID hadiah</x:v>
      </x:c>
      <x:c r="B5" s="9" t="str">
        <x:v>Nama hadiah asli</x:v>
      </x:c>
      <x:c r="C5" s="9" t="str">
        <x:v>Kategori</x:v>
      </x:c>
      <x:c r="D5" s="9" t="str">
        <x:v>Stok saat ekspor</x:v>
      </x:c>
      <x:c r="E5" s="9" t="str">
        <x:v>Aktif</x:v>
      </x:c>
      <x:c r="F5" s="9" t="str">
        <x:v>Catatan foto</x:v>
      </x:c>
      <x:c r="G5" s="9" t="str">
        <x:v>Varian / syarat</x:v>
      </x:c>
      <x:c r="H5" s="9" t="str">
        <x:v>Diskon</x:v>
      </x:c>
      <x:c r="I5" s="9" t="str">
        <x:v>Satuan diskon</x:v>
      </x:c>
      <x:c r="J5" s="9" t="str">
        <x:v>Minimum belanja (Rp)</x:v>
      </x:c>
      <x:c r="K5" s="9" t="str">
        <x:v>Catatan barang</x:v>
      </x:c>
      <x:c r="L5" s="9" t="str">
        <x:v>Foto lokal</x:v>
      </x:c>
    </x:row>
    <x:row r="6" ht="48" customHeight="1">
      <x:c r="A6" s="10" t="str">
        <x:v>voucher-500000</x:v>
      </x:c>
      <x:c r="B6" s="10" t="str">
        <x:v>Hadiah utama · Voucher Rp500.000</x:v>
      </x:c>
      <x:c r="C6" s="10" t="str">
        <x:v>Hadiah utama</x:v>
      </x:c>
      <x:c r="D6" s="10" t="n">
        <x:v>1</x:v>
      </x:c>
      <x:c r="E6" s="10" t="str">
        <x:v>Ya</x:v>
      </x:c>
      <x:c r="F6" s="10" t="str">
        <x:v>Tidak perlu foto</x:v>
      </x:c>
      <x:c r="G6" s="38" t="str">
        <x:v>Min. belanja Rp750.000</x:v>
      </x:c>
      <x:c r="H6" s="10" t="n">
        <x:v>500000</x:v>
      </x:c>
      <x:c r="I6" s="10" t="str">
        <x:v>Rp</x:v>
      </x:c>
      <x:c r="J6" s="10" t="n">
        <x:v>750000</x:v>
      </x:c>
      <x:c r="K6" s="10" t="str">
        <x:v>Siapkan 1 kode voucher Rp500.000 yang sah. Masa berlaku dan penggabungan promo ditentukan tim booth.</x:v>
      </x:c>
      <x:c r="L6" s="10" t="str"/>
    </x:row>
    <x:row r="7" ht="48" customHeight="1">
      <x:c r="A7" s="10" t="str">
        <x:v>bundle</x:v>
      </x:c>
      <x:c r="B7" s="10" t="str">
        <x:v>Bundling produk skincare</x:v>
      </x:c>
      <x:c r="C7" s="10" t="str">
        <x:v>Bundling</x:v>
      </x:c>
      <x:c r="D7" s="10" t="n">
        <x:v>5</x:v>
      </x:c>
      <x:c r="E7" s="10" t="str">
        <x:v>Ya</x:v>
      </x:c>
      <x:c r="F7" s="10" t="str">
        <x:v>Opsional; belum ditandai</x:v>
      </x:c>
      <x:c r="G7" s="38" t="str">
        <x:v>Paket skincare</x:v>
      </x:c>
      <x:c r="H7" s="10"/>
      <x:c r="I7" s="10"/>
      <x:c r="J7" s="10"/>
      <x:c r="K7" s="10" t="str">
        <x:v>Isi dan foto bundling belum diberikan. Foto paket asli dapat diunggah sebagai pelengkap; tidak wajib untuk mulai bermain.</x:v>
      </x:c>
      <x:c r="L7" s="10" t="str"/>
    </x:row>
    <x:row r="8" ht="48" customHeight="1">
      <x:c r="A8" s="10" t="str">
        <x:v>voucher-25</x:v>
      </x:c>
      <x:c r="B8" s="10" t="str">
        <x:v>Voucher potongan 25%</x:v>
      </x:c>
      <x:c r="C8" s="10" t="str">
        <x:v>Voucher</x:v>
      </x:c>
      <x:c r="D8" s="10" t="n">
        <x:v>20</x:v>
      </x:c>
      <x:c r="E8" s="10" t="str">
        <x:v>Ya</x:v>
      </x:c>
      <x:c r="F8" s="10" t="str">
        <x:v>Tidak perlu foto</x:v>
      </x:c>
      <x:c r="G8" s="38" t="str">
        <x:v>Min. belanja Rp25.000</x:v>
      </x:c>
      <x:c r="H8" s="10" t="n">
        <x:v>25</x:v>
      </x:c>
      <x:c r="I8" s="10" t="str">
        <x:v>%</x:v>
      </x:c>
      <x:c r="J8" s="10" t="n">
        <x:v>25000</x:v>
      </x:c>
      <x:c r="K8" s="10" t="str">
        <x:v>Kuota 20 per jenis telah dikonfirmasi. Masa berlaku, batas diskon persen, dan kode voucher ditentukan tim booth.</x:v>
      </x:c>
      <x:c r="L8" s="10" t="str"/>
    </x:row>
    <x:row r="9" ht="48" customHeight="1">
      <x:c r="A9" s="10" t="str">
        <x:v>voucher-50</x:v>
      </x:c>
      <x:c r="B9" s="10" t="str">
        <x:v>Voucher potongan 50%</x:v>
      </x:c>
      <x:c r="C9" s="10" t="str">
        <x:v>Voucher</x:v>
      </x:c>
      <x:c r="D9" s="10" t="n">
        <x:v>20</x:v>
      </x:c>
      <x:c r="E9" s="10" t="str">
        <x:v>Ya</x:v>
      </x:c>
      <x:c r="F9" s="10" t="str">
        <x:v>Tidak perlu foto</x:v>
      </x:c>
      <x:c r="G9" s="38" t="str">
        <x:v>Min. belanja Rp50.000</x:v>
      </x:c>
      <x:c r="H9" s="10" t="n">
        <x:v>50</x:v>
      </x:c>
      <x:c r="I9" s="10" t="str">
        <x:v>%</x:v>
      </x:c>
      <x:c r="J9" s="10" t="n">
        <x:v>50000</x:v>
      </x:c>
      <x:c r="K9" s="10" t="str">
        <x:v>Kuota 20 per jenis telah dikonfirmasi. Masa berlaku, batas diskon persen, dan kode voucher ditentukan tim booth.</x:v>
      </x:c>
      <x:c r="L9" s="10" t="str"/>
    </x:row>
    <x:row r="10" ht="48" customHeight="1">
      <x:c r="A10" s="10" t="str">
        <x:v>voucher-100000</x:v>
      </x:c>
      <x:c r="B10" s="10" t="str">
        <x:v>Voucher potongan Rp100.000</x:v>
      </x:c>
      <x:c r="C10" s="10" t="str">
        <x:v>Voucher</x:v>
      </x:c>
      <x:c r="D10" s="10" t="n">
        <x:v>20</x:v>
      </x:c>
      <x:c r="E10" s="10" t="str">
        <x:v>Ya</x:v>
      </x:c>
      <x:c r="F10" s="10" t="str">
        <x:v>Tidak perlu foto</x:v>
      </x:c>
      <x:c r="G10" s="38" t="str">
        <x:v>Min. belanja Rp150.000</x:v>
      </x:c>
      <x:c r="H10" s="10" t="n">
        <x:v>100000</x:v>
      </x:c>
      <x:c r="I10" s="10" t="str">
        <x:v>Rp</x:v>
      </x:c>
      <x:c r="J10" s="10" t="n">
        <x:v>150000</x:v>
      </x:c>
      <x:c r="K10" s="10" t="str">
        <x:v>Kuota 20 per jenis telah dikonfirmasi. Masa berlaku, batas diskon persen, dan kode voucher ditentukan tim booth.</x:v>
      </x:c>
      <x:c r="L10" s="10" t="str"/>
    </x:row>
    <x:row r="11" ht="48" customHeight="1">
      <x:c r="A11" s="10" t="str">
        <x:v>powder-000</x:v>
      </x:c>
      <x:c r="B11" s="10" t="str">
        <x:v>Pinkflash Lasting Matte Loose Pressed Powder - 000</x:v>
      </x:c>
      <x:c r="C11" s="10" t="str">
        <x:v>Produk</x:v>
      </x:c>
      <x:c r="D11" s="10" t="n">
        <x:v>20</x:v>
      </x:c>
      <x:c r="E11" s="10" t="str">
        <x:v>Ya</x:v>
      </x:c>
      <x:c r="F11" s="10" t="str">
        <x:v>Opsional; belum ditandai</x:v>
      </x:c>
      <x:c r="G11" s="38" t="str">
        <x:v>'000</x:v>
      </x:c>
      <x:c r="H11" s="10"/>
      <x:c r="I11" s="10"/>
      <x:c r="J11" s="10"/>
      <x:c r="K11" s="10" t="str">
        <x:v>Foto katalog pressed powder 000. Jenis loose / pressed perlu dicocokkan dengan barang booth.</x:v>
      </x:c>
      <x:c r="L11" s="10" t="str">
        <x:v>/assets/products/powder-000.jpg</x:v>
      </x:c>
    </x:row>
    <x:row r="12" ht="48" customHeight="1">
      <x:c r="A12" s="10" t="str">
        <x:v>foundation-04</x:v>
      </x:c>
      <x:c r="B12" s="10" t="str">
        <x:v>FOCALLURE FLUID FOUNDATION FA30 - 04 trial size</x:v>
      </x:c>
      <x:c r="C12" s="10" t="str">
        <x:v>Produk</x:v>
      </x:c>
      <x:c r="D12" s="10" t="n">
        <x:v>20</x:v>
      </x:c>
      <x:c r="E12" s="10" t="str">
        <x:v>Ya</x:v>
      </x:c>
      <x:c r="F12" s="10" t="str">
        <x:v>Opsional; belum ditandai</x:v>
      </x:c>
      <x:c r="G12" s="38" t="str">
        <x:v>04 · trial size</x:v>
      </x:c>
      <x:c r="H12" s="10"/>
      <x:c r="I12" s="10"/>
      <x:c r="J12" s="10"/>
      <x:c r="K12" s="10" t="str">
        <x:v>Foto katalog FA30 trial size shade 04; cocokkan stok fisik.</x:v>
      </x:c>
      <x:c r="L12" s="10" t="str">
        <x:v>/assets/products/foundation-04.jpg</x:v>
      </x:c>
    </x:row>
    <x:row r="13" ht="48" customHeight="1">
      <x:c r="A13" s="10" t="str">
        <x:v>duo-m03</x:v>
      </x:c>
      <x:c r="B13" s="10" t="str">
        <x:v>PINKFLASH DUO LIPGLOSS PF-L13 - M03</x:v>
      </x:c>
      <x:c r="C13" s="10" t="str">
        <x:v>Produk</x:v>
      </x:c>
      <x:c r="D13" s="10" t="n">
        <x:v>20</x:v>
      </x:c>
      <x:c r="E13" s="10" t="str">
        <x:v>Ya</x:v>
      </x:c>
      <x:c r="F13" s="10" t="str">
        <x:v>Opsional; belum ditandai</x:v>
      </x:c>
      <x:c r="G13" s="38" t="str">
        <x:v>M03</x:v>
      </x:c>
      <x:c r="H13" s="10"/>
      <x:c r="I13" s="10"/>
      <x:c r="J13" s="10"/>
      <x:c r="K13" s="10" t="str">
        <x:v>Cocokkan shade M03 dengan stok booth.</x:v>
      </x:c>
      <x:c r="L13" s="10" t="str">
        <x:v>/assets/products/duo.jpg</x:v>
      </x:c>
    </x:row>
    <x:row r="14" ht="48" customHeight="1">
      <x:c r="A14" s="10" t="str">
        <x:v>salsa-vinilash</x:v>
      </x:c>
      <x:c r="B14" s="10" t="str">
        <x:v>SALSA VINILASH</x:v>
      </x:c>
      <x:c r="C14" s="10" t="str">
        <x:v>Produk</x:v>
      </x:c>
      <x:c r="D14" s="10" t="n">
        <x:v>20</x:v>
      </x:c>
      <x:c r="E14" s="10" t="str">
        <x:v>Ya</x:v>
      </x:c>
      <x:c r="F14" s="10" t="str">
        <x:v>Opsional; belum ditandai</x:v>
      </x:c>
      <x:c r="G14" s="38" t="str">
        <x:v>Penjepit bulu mata</x:v>
      </x:c>
      <x:c r="H14" s="10"/>
      <x:c r="I14" s="10"/>
      <x:c r="J14" s="10"/>
      <x:c r="K14" s="10" t="str">
        <x:v>VINILASH adalah penjepit bulu mata, bukan maskara. Warna mengikuti barang booth.</x:v>
      </x:c>
      <x:c r="L14" s="10" t="str">
        <x:v>/assets/products/curler.jpg</x:v>
      </x:c>
    </x:row>
    <x:row r="15" ht="48" customHeight="1">
      <x:c r="A15" s="10" t="str">
        <x:v>stick-hs03</x:v>
      </x:c>
      <x:c r="B15" s="10" t="str">
        <x:v>PINKFLASH DUO MAKEUP STICK PF-F21- HS03</x:v>
      </x:c>
      <x:c r="C15" s="10" t="str">
        <x:v>Produk</x:v>
      </x:c>
      <x:c r="D15" s="10" t="n">
        <x:v>20</x:v>
      </x:c>
      <x:c r="E15" s="10" t="str">
        <x:v>Ya</x:v>
      </x:c>
      <x:c r="F15" s="10" t="str">
        <x:v>Opsional; belum ditandai</x:v>
      </x:c>
      <x:c r="G15" s="38" t="str">
        <x:v>HS03</x:v>
      </x:c>
      <x:c r="H15" s="10"/>
      <x:c r="I15" s="10"/>
      <x:c r="J15" s="10"/>
      <x:c r="K15" s="10" t="str">
        <x:v>Cocokkan HS03 dengan barang booth.</x:v>
      </x:c>
      <x:c r="L15" s="10" t="str">
        <x:v>/assets/products/stick.jpg</x:v>
      </x:c>
    </x:row>
    <x:row r="16" ht="48" customHeight="1">
      <x:c r="A16" s="10" t="str">
        <x:v>creamy-oroi</x:v>
      </x:c>
      <x:c r="B16" s="10" t="str">
        <x:v>PINKFLASH CREAMY LIPGLOSS OROI</x:v>
      </x:c>
      <x:c r="C16" s="10" t="str">
        <x:v>Produk</x:v>
      </x:c>
      <x:c r="D16" s="10" t="n">
        <x:v>20</x:v>
      </x:c>
      <x:c r="E16" s="10" t="str">
        <x:v>Ya</x:v>
      </x:c>
      <x:c r="F16" s="10" t="str">
        <x:v>Opsional; belum ditandai</x:v>
      </x:c>
      <x:c r="G16" s="38" t="str">
        <x:v>OROI / OR01*</x:v>
      </x:c>
      <x:c r="H16" s="10"/>
      <x:c r="I16" s="10"/>
      <x:c r="J16" s="10"/>
      <x:c r="K16" s="10" t="str">
        <x:v>Input awal OROI; referensi katalog OR01. Konfirmasi ejaan shade.</x:v>
      </x:c>
      <x:c r="L16" s="10" t="str">
        <x:v>/assets/products/creamy-or01.jpg</x:v>
      </x:c>
    </x:row>
    <x:row r="17" ht="48" customHeight="1">
      <x:c r="A17" s="10" t="str">
        <x:v>creamy-rdoi</x:v>
      </x:c>
      <x:c r="B17" s="10" t="str">
        <x:v>PINKFLASH CREAMY LIPGLOSS RDOI</x:v>
      </x:c>
      <x:c r="C17" s="10" t="str">
        <x:v>Produk</x:v>
      </x:c>
      <x:c r="D17" s="10" t="n">
        <x:v>20</x:v>
      </x:c>
      <x:c r="E17" s="10" t="str">
        <x:v>Ya</x:v>
      </x:c>
      <x:c r="F17" s="10" t="str">
        <x:v>Opsional; belum ditandai</x:v>
      </x:c>
      <x:c r="G17" s="38" t="str">
        <x:v>RDOI / RD01*</x:v>
      </x:c>
      <x:c r="H17" s="10"/>
      <x:c r="I17" s="10"/>
      <x:c r="J17" s="10"/>
      <x:c r="K17" s="10" t="str">
        <x:v>Input awal RDOI; referensi katalog RD01. Konfirmasi ejaan shade.</x:v>
      </x:c>
      <x:c r="L17" s="10" t="str">
        <x:v>/assets/products/creamy-rd01.jpg</x:v>
      </x:c>
    </x:row>
    <x:row r="18" ht="48" customHeight="1">
      <x:c r="A18" s="10" t="str">
        <x:v>foundation-03</x:v>
      </x:c>
      <x:c r="B18" s="10" t="str">
        <x:v>FOCALLURE FLUID FOUNDATION FA30 - 03 trial size</x:v>
      </x:c>
      <x:c r="C18" s="10" t="str">
        <x:v>Produk</x:v>
      </x:c>
      <x:c r="D18" s="10" t="n">
        <x:v>20</x:v>
      </x:c>
      <x:c r="E18" s="10" t="str">
        <x:v>Ya</x:v>
      </x:c>
      <x:c r="F18" s="10" t="str">
        <x:v>Opsional; belum ditandai</x:v>
      </x:c>
      <x:c r="G18" s="38" t="str">
        <x:v>03 · trial size</x:v>
      </x:c>
      <x:c r="H18" s="10"/>
      <x:c r="I18" s="10"/>
      <x:c r="J18" s="10"/>
      <x:c r="K18" s="10" t="str">
        <x:v>Foto katalog FA30 trial size shade 03; cocokkan stok fisik.</x:v>
      </x:c>
      <x:c r="L18" s="10" t="str">
        <x:v>/assets/products/foundation-03.jpg</x:v>
      </x:c>
    </x:row>
    <x:row r="19" ht="48" customHeight="1">
      <x:c r="A19" s="10" t="str">
        <x:v>powder-222</x:v>
      </x:c>
      <x:c r="B19" s="10" t="str">
        <x:v>Pinkflash Lasting Matte Loose Pressed Powder - 222</x:v>
      </x:c>
      <x:c r="C19" s="10" t="str">
        <x:v>Produk</x:v>
      </x:c>
      <x:c r="D19" s="10" t="n">
        <x:v>20</x:v>
      </x:c>
      <x:c r="E19" s="10" t="str">
        <x:v>Ya</x:v>
      </x:c>
      <x:c r="F19" s="10" t="str">
        <x:v>Opsional; belum ditandai</x:v>
      </x:c>
      <x:c r="G19" s="38" t="str">
        <x:v>'222</x:v>
      </x:c>
      <x:c r="H19" s="10"/>
      <x:c r="I19" s="10"/>
      <x:c r="J19" s="10"/>
      <x:c r="K19" s="10" t="str">
        <x:v>Foto katalog pressed powder 222. Jenis loose / pressed perlu dicocokkan.</x:v>
      </x:c>
      <x:c r="L19" s="10" t="str">
        <x:v>/assets/products/powder-222.jpg</x:v>
      </x:c>
    </x:row>
    <x:row r="20" ht="48" customHeight="1">
      <x:c r="A20" s="10" t="str">
        <x:v>lip-oil</x:v>
      </x:c>
      <x:c r="B20" s="10" t="str">
        <x:v>Pinkflash Care Plus Lip Oil PF-L12</x:v>
      </x:c>
      <x:c r="C20" s="10" t="str">
        <x:v>Produk</x:v>
      </x:c>
      <x:c r="D20" s="10" t="n">
        <x:v>20</x:v>
      </x:c>
      <x:c r="E20" s="10" t="str">
        <x:v>Ya</x:v>
      </x:c>
      <x:c r="F20" s="10" t="str">
        <x:v>Opsional; belum ditandai</x:v>
      </x:c>
      <x:c r="G20" s="38" t="str">
        <x:v>PF-L12</x:v>
      </x:c>
      <x:c r="H20" s="10"/>
      <x:c r="I20" s="10"/>
      <x:c r="J20" s="10"/>
      <x:c r="K20" s="10" t="str">
        <x:v>Shade belum disebutkan; cocokkan barang booth.</x:v>
      </x:c>
      <x:c r="L20" s="10" t="str">
        <x:v>/assets/products/oil.jpg</x:v>
      </x:c>
    </x:row>
    <x:row r="21" ht="23" customHeight="1">
      <x:c r="A21" s="3"/>
      <x:c r="B21" s="3"/>
      <x:c r="C21" s="3"/>
      <x:c r="D21" s="3"/>
      <x:c r="E21" s="3"/>
      <x:c r="F21" s="3"/>
      <x:c r="G21" s="3"/>
      <x:c r="H21" s="3"/>
      <x:c r="I21" s="3"/>
      <x:c r="J21" s="3"/>
      <x:c r="K21" s="3"/>
      <x:c r="L21" s="3"/>
    </x:row>
    <x:row r="22" ht="23" customHeight="1">
      <x:c r="A22" s="3"/>
      <x:c r="B22" s="3"/>
      <x:c r="C22" s="3"/>
      <x:c r="D22" s="3"/>
      <x:c r="E22" s="3"/>
      <x:c r="F22" s="3"/>
      <x:c r="G22" s="3"/>
      <x:c r="H22" s="3"/>
      <x:c r="I22" s="3"/>
      <x:c r="J22" s="3"/>
      <x:c r="K22" s="3"/>
      <x:c r="L22" s="3"/>
    </x:row>
    <x:row r="23" ht="23" customHeight="1">
      <x:c r="A23" s="3"/>
      <x:c r="B23" s="3"/>
      <x:c r="C23" s="3"/>
      <x:c r="D23" s="3"/>
      <x:c r="E23" s="3"/>
      <x:c r="F23" s="3"/>
      <x:c r="G23" s="3"/>
      <x:c r="H23" s="3"/>
      <x:c r="I23" s="3"/>
      <x:c r="J23" s="3"/>
      <x:c r="K23" s="3"/>
      <x:c r="L23" s="3"/>
    </x:row>
    <x:row r="24" ht="23" customHeight="1">
      <x:c r="A24" s="3"/>
      <x:c r="B24" s="3"/>
      <x:c r="C24" s="3"/>
      <x:c r="D24" s="3"/>
      <x:c r="E24" s="3"/>
      <x:c r="F24" s="3"/>
      <x:c r="G24" s="3"/>
      <x:c r="H24" s="3"/>
      <x:c r="I24" s="3"/>
      <x:c r="J24" s="3"/>
      <x:c r="K24" s="3"/>
      <x:c r="L24" s="3"/>
    </x:row>
    <x:row r="25" ht="23" customHeight="1">
      <x:c r="A25" s="3"/>
      <x:c r="B25" s="3"/>
      <x:c r="C25" s="3"/>
      <x:c r="D25" s="3"/>
      <x:c r="E25" s="3"/>
      <x:c r="F25" s="3"/>
      <x:c r="G25" s="3"/>
      <x:c r="H25" s="3"/>
      <x:c r="I25" s="3"/>
      <x:c r="J25" s="3"/>
      <x:c r="K25" s="3"/>
      <x:c r="L25" s="3"/>
    </x:row>
    <x:row r="26" ht="23" customHeight="1">
      <x:c r="A26" s="3"/>
      <x:c r="B26" s="3"/>
      <x:c r="C26" s="3"/>
      <x:c r="D26" s="3"/>
      <x:c r="E26" s="3"/>
      <x:c r="F26" s="3"/>
      <x:c r="G26" s="3"/>
      <x:c r="H26" s="3"/>
      <x:c r="I26" s="3"/>
      <x:c r="J26" s="3"/>
      <x:c r="K26" s="3"/>
      <x:c r="L26" s="3"/>
    </x:row>
    <x:row r="27" ht="23" customHeight="1">
      <x:c r="A27" s="3"/>
      <x:c r="B27" s="3"/>
      <x:c r="C27" s="3"/>
      <x:c r="D27" s="3"/>
      <x:c r="E27" s="3"/>
      <x:c r="F27" s="3"/>
      <x:c r="G27" s="3"/>
      <x:c r="H27" s="3"/>
      <x:c r="I27" s="3"/>
      <x:c r="J27" s="3"/>
      <x:c r="K27" s="3"/>
      <x:c r="L27" s="3"/>
    </x:row>
    <x:row r="28" ht="23" customHeight="1">
      <x:c r="A28" s="3"/>
      <x:c r="B28" s="3"/>
      <x:c r="C28" s="3"/>
      <x:c r="D28" s="3"/>
      <x:c r="E28" s="3"/>
      <x:c r="F28" s="3"/>
      <x:c r="G28" s="3"/>
      <x:c r="H28" s="3"/>
      <x:c r="I28" s="3"/>
      <x:c r="J28" s="3"/>
      <x:c r="K28" s="3"/>
      <x:c r="L28" s="3"/>
    </x:row>
    <x:row r="29" ht="23" customHeight="1">
      <x:c r="A29" s="3"/>
      <x:c r="B29" s="3"/>
      <x:c r="C29" s="3"/>
      <x:c r="D29" s="3"/>
      <x:c r="E29" s="3"/>
      <x:c r="F29" s="3"/>
      <x:c r="G29" s="3"/>
      <x:c r="H29" s="3"/>
      <x:c r="I29" s="3"/>
      <x:c r="J29" s="3"/>
      <x:c r="K29" s="3"/>
      <x:c r="L29" s="3"/>
    </x:row>
    <x:row r="30" ht="23" customHeight="1">
      <x:c r="A30" s="3"/>
      <x:c r="B30" s="3"/>
      <x:c r="C30" s="3"/>
      <x:c r="D30" s="3"/>
      <x:c r="E30" s="3"/>
      <x:c r="F30" s="3"/>
      <x:c r="G30" s="3"/>
      <x:c r="H30" s="3"/>
      <x:c r="I30" s="3"/>
      <x:c r="J30" s="3"/>
      <x:c r="K30" s="3"/>
      <x:c r="L30" s="3"/>
    </x:row>
    <x:row r="31" ht="23" customHeight="1">
      <x:c r="A31" s="3"/>
      <x:c r="B31" s="3"/>
      <x:c r="C31" s="3"/>
      <x:c r="D31" s="3"/>
      <x:c r="E31" s="3"/>
      <x:c r="F31" s="3"/>
      <x:c r="G31" s="3"/>
      <x:c r="H31" s="3"/>
      <x:c r="I31" s="3"/>
      <x:c r="J31" s="3"/>
      <x:c r="K31" s="3"/>
      <x:c r="L31" s="3"/>
    </x:row>
    <x:row r="32" ht="23" customHeight="1">
      <x:c r="A32" s="3"/>
      <x:c r="B32" s="3"/>
      <x:c r="C32" s="3"/>
      <x:c r="D32" s="3"/>
      <x:c r="E32" s="3"/>
      <x:c r="F32" s="3"/>
      <x:c r="G32" s="3"/>
      <x:c r="H32" s="3"/>
      <x:c r="I32" s="3"/>
      <x:c r="J32" s="3"/>
      <x:c r="K32" s="3"/>
      <x:c r="L32" s="3"/>
    </x:row>
    <x:row r="33" ht="23" customHeight="1">
      <x:c r="A33" s="3"/>
      <x:c r="B33" s="3"/>
      <x:c r="C33" s="3"/>
      <x:c r="D33" s="3"/>
      <x:c r="E33" s="3"/>
      <x:c r="F33" s="3"/>
      <x:c r="G33" s="3"/>
      <x:c r="H33" s="3"/>
      <x:c r="I33" s="3"/>
      <x:c r="J33" s="3"/>
      <x:c r="K33" s="3"/>
      <x:c r="L33" s="3"/>
    </x:row>
    <x:row r="34" ht="23" customHeight="1">
      <x:c r="A34" s="3"/>
      <x:c r="B34" s="3"/>
      <x:c r="C34" s="3"/>
      <x:c r="D34" s="3"/>
      <x:c r="E34" s="3"/>
      <x:c r="F34" s="3"/>
      <x:c r="G34" s="3"/>
      <x:c r="H34" s="3"/>
      <x:c r="I34" s="3"/>
      <x:c r="J34" s="3"/>
      <x:c r="K34" s="3"/>
      <x:c r="L34" s="3"/>
    </x:row>
    <x:row r="35" ht="23" customHeight="1">
      <x:c r="A35" s="3"/>
      <x:c r="B35" s="3"/>
      <x:c r="C35" s="3"/>
      <x:c r="D35" s="3"/>
      <x:c r="E35" s="3"/>
      <x:c r="F35" s="3"/>
      <x:c r="G35" s="3"/>
      <x:c r="H35" s="3"/>
      <x:c r="I35" s="3"/>
      <x:c r="J35" s="3"/>
      <x:c r="K35" s="3"/>
      <x:c r="L35" s="3"/>
    </x:row>
    <x:row r="36" ht="23" customHeight="1">
      <x:c r="A36" s="3"/>
      <x:c r="B36" s="3"/>
      <x:c r="C36" s="3"/>
      <x:c r="D36" s="3"/>
      <x:c r="E36" s="3"/>
      <x:c r="F36" s="3"/>
      <x:c r="G36" s="3"/>
      <x:c r="H36" s="3"/>
      <x:c r="I36" s="3"/>
      <x:c r="J36" s="3"/>
      <x:c r="K36" s="3"/>
      <x:c r="L36" s="3"/>
    </x:row>
    <x:row r="37" ht="23" customHeight="1">
      <x:c r="A37" s="3"/>
      <x:c r="B37" s="3"/>
      <x:c r="C37" s="3"/>
      <x:c r="D37" s="3"/>
      <x:c r="E37" s="3"/>
      <x:c r="F37" s="3"/>
      <x:c r="G37" s="3"/>
      <x:c r="H37" s="3"/>
      <x:c r="I37" s="3"/>
      <x:c r="J37" s="3"/>
      <x:c r="K37" s="3"/>
      <x:c r="L37" s="3"/>
    </x:row>
    <x:row r="38" ht="23" customHeight="1">
      <x:c r="A38" s="3"/>
      <x:c r="B38" s="3"/>
      <x:c r="C38" s="3"/>
      <x:c r="D38" s="3"/>
      <x:c r="E38" s="3"/>
      <x:c r="F38" s="3"/>
      <x:c r="G38" s="3"/>
      <x:c r="H38" s="3"/>
      <x:c r="I38" s="3"/>
      <x:c r="J38" s="3"/>
      <x:c r="K38" s="3"/>
      <x:c r="L38" s="3"/>
    </x:row>
    <x:row r="39" ht="23" customHeight="1">
      <x:c r="A39" s="3"/>
      <x:c r="B39" s="3"/>
      <x:c r="C39" s="3"/>
      <x:c r="D39" s="3"/>
      <x:c r="E39" s="3"/>
      <x:c r="F39" s="3"/>
      <x:c r="G39" s="3"/>
      <x:c r="H39" s="3"/>
      <x:c r="I39" s="3"/>
      <x:c r="J39" s="3"/>
      <x:c r="K39" s="3"/>
      <x:c r="L39" s="3"/>
    </x:row>
    <x:row r="40" ht="23" customHeight="1">
      <x:c r="A40" s="3"/>
      <x:c r="B40" s="3"/>
      <x:c r="C40" s="3"/>
      <x:c r="D40" s="3"/>
      <x:c r="E40" s="3"/>
      <x:c r="F40" s="3"/>
      <x:c r="G40" s="3"/>
      <x:c r="H40" s="3"/>
      <x:c r="I40" s="3"/>
      <x:c r="J40" s="3"/>
      <x:c r="K40" s="3"/>
      <x:c r="L40" s="3"/>
    </x:row>
    <x:row r="41" ht="23" customHeight="1">
      <x:c r="A41" s="3"/>
      <x:c r="B41" s="3"/>
      <x:c r="C41" s="3"/>
      <x:c r="D41" s="3"/>
      <x:c r="E41" s="3"/>
      <x:c r="F41" s="3"/>
      <x:c r="G41" s="3"/>
      <x:c r="H41" s="3"/>
      <x:c r="I41" s="3"/>
      <x:c r="J41" s="3"/>
      <x:c r="K41" s="3"/>
      <x:c r="L41" s="3"/>
    </x:row>
    <x:row r="42" ht="23" customHeight="1">
      <x:c r="A42" s="3"/>
      <x:c r="B42" s="3"/>
      <x:c r="C42" s="3"/>
      <x:c r="D42" s="3"/>
      <x:c r="E42" s="3"/>
      <x:c r="F42" s="3"/>
      <x:c r="G42" s="3"/>
      <x:c r="H42" s="3"/>
      <x:c r="I42" s="3"/>
      <x:c r="J42" s="3"/>
      <x:c r="K42" s="3"/>
      <x:c r="L42" s="3"/>
    </x:row>
    <x:row r="43" ht="23" customHeight="1">
      <x:c r="A43" s="3"/>
      <x:c r="B43" s="3"/>
      <x:c r="C43" s="3"/>
      <x:c r="D43" s="3"/>
      <x:c r="E43" s="3"/>
      <x:c r="F43" s="3"/>
      <x:c r="G43" s="3"/>
      <x:c r="H43" s="3"/>
      <x:c r="I43" s="3"/>
      <x:c r="J43" s="3"/>
      <x:c r="K43" s="3"/>
      <x:c r="L43" s="3"/>
    </x:row>
    <x:row r="44" ht="23" customHeight="1">
      <x:c r="A44" s="3"/>
      <x:c r="B44" s="3"/>
      <x:c r="C44" s="3"/>
      <x:c r="D44" s="3"/>
      <x:c r="E44" s="3"/>
      <x:c r="F44" s="3"/>
      <x:c r="G44" s="3"/>
      <x:c r="H44" s="3"/>
      <x:c r="I44" s="3"/>
      <x:c r="J44" s="3"/>
      <x:c r="K44" s="3"/>
      <x:c r="L44" s="3"/>
    </x:row>
    <x:row r="45" ht="23" customHeight="1">
      <x:c r="A45" s="3"/>
      <x:c r="B45" s="3"/>
      <x:c r="C45" s="3"/>
      <x:c r="D45" s="3"/>
      <x:c r="E45" s="3"/>
      <x:c r="F45" s="3"/>
      <x:c r="G45" s="3"/>
      <x:c r="H45" s="3"/>
      <x:c r="I45" s="3"/>
      <x:c r="J45" s="3"/>
      <x:c r="K45" s="3"/>
      <x:c r="L45" s="3"/>
    </x:row>
    <x:row r="46" ht="23" customHeight="1">
      <x:c r="A46" s="3"/>
      <x:c r="B46" s="3"/>
      <x:c r="C46" s="3"/>
      <x:c r="D46" s="3"/>
      <x:c r="E46" s="3"/>
      <x:c r="F46" s="3"/>
      <x:c r="G46" s="3"/>
      <x:c r="H46" s="3"/>
      <x:c r="I46" s="3"/>
      <x:c r="J46" s="3"/>
      <x:c r="K46" s="3"/>
      <x:c r="L46" s="3"/>
    </x:row>
    <x:row r="47" ht="23" customHeight="1">
      <x:c r="A47" s="3"/>
      <x:c r="B47" s="3"/>
      <x:c r="C47" s="3"/>
      <x:c r="D47" s="3"/>
      <x:c r="E47" s="3"/>
      <x:c r="F47" s="3"/>
      <x:c r="G47" s="3"/>
      <x:c r="H47" s="3"/>
      <x:c r="I47" s="3"/>
      <x:c r="J47" s="3"/>
      <x:c r="K47" s="3"/>
      <x:c r="L47" s="3"/>
    </x:row>
    <x:row r="48" ht="23" customHeight="1">
      <x:c r="A48" s="3"/>
      <x:c r="B48" s="3"/>
      <x:c r="C48" s="3"/>
      <x:c r="D48" s="3"/>
      <x:c r="E48" s="3"/>
      <x:c r="F48" s="3"/>
      <x:c r="G48" s="3"/>
      <x:c r="H48" s="3"/>
      <x:c r="I48" s="3"/>
      <x:c r="J48" s="3"/>
      <x:c r="K48" s="3"/>
      <x:c r="L48" s="3"/>
    </x:row>
    <x:row r="49" ht="23" customHeight="1">
      <x:c r="A49" s="3"/>
      <x:c r="B49" s="3"/>
      <x:c r="C49" s="3"/>
      <x:c r="D49" s="3"/>
      <x:c r="E49" s="3"/>
      <x:c r="F49" s="3"/>
      <x:c r="G49" s="3"/>
      <x:c r="H49" s="3"/>
      <x:c r="I49" s="3"/>
      <x:c r="J49" s="3"/>
      <x:c r="K49" s="3"/>
      <x:c r="L49" s="3"/>
    </x:row>
    <x:row r="50" ht="23" customHeight="1">
      <x:c r="A50" s="3"/>
      <x:c r="B50" s="3"/>
      <x:c r="C50" s="3"/>
      <x:c r="D50" s="3"/>
      <x:c r="E50" s="3"/>
      <x:c r="F50" s="3"/>
      <x:c r="G50" s="3"/>
      <x:c r="H50" s="3"/>
      <x:c r="I50" s="3"/>
      <x:c r="J50" s="3"/>
      <x:c r="K50" s="3"/>
      <x:c r="L50" s="3"/>
    </x:row>
  </x:sheetData>
  <x:mergeCells>
    <x:mergeCell ref="A1:L1"/>
    <x:mergeCell ref="A3:L3"/>
  </x:mergeCells>
  <x:pageMargins left="0.7" right="0.7" top="0.75" bottom="0.75" header="0.3" footer="0.3"/>
  <x:tableParts count="1">
    <x:tablePart xmlns:r="http://schemas.openxmlformats.org/officeDocument/2006/relationships" r:id="Re23d13967786412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24" hidden="0" customWidth="1"/>
    <x:col min="3" max="3" width="20" hidden="0" customWidth="1"/>
    <x:col min="4" max="4" width="22" hidden="0" customWidth="1"/>
    <x:col min="5" max="5" width="50" hidden="0" customWidth="1"/>
    <x:col min="6" max="6" width="20" hidden="0" customWidth="1"/>
    <x:col min="7" max="7" width="23" hidden="0" customWidth="1"/>
    <x:col min="8" max="8" width="13" hidden="0" customWidth="1"/>
    <x:col min="9" max="9" width="17" hidden="0" customWidth="1"/>
    <x:col min="10" max="10" width="13" hidden="0" customWidth="1"/>
    <x:col min="11" max="11" width="18" hidden="0" customWidth="1"/>
    <x:col min="12" max="12" width="18" hidden="0" customWidth="1"/>
    <x:col min="13" max="13" width="16" hidden="0" customWidth="1"/>
    <x:col min="14" max="14" width="16" hidden="0" customWidth="1"/>
    <x:col min="15" max="15" width="23" hidden="0" customWidth="1"/>
    <x:col min="16" max="16" width="24" hidden="0" customWidth="1"/>
    <x:col min="17" max="17" width="29" hidden="0" customWidth="1"/>
  </x:cols>
  <x:sheetData>
    <x:row r="1" ht="48" customHeight="1">
      <x:c r="A1" s="5" t="str">
        <x:v>DATA PERMAINAN / SUMBER</x:v>
      </x:c>
      <x:c r="B1" s="5"/>
      <x:c r="C1" s="5"/>
      <x:c r="D1" s="5"/>
      <x:c r="E1" s="5"/>
      <x:c r="F1" s="5"/>
      <x:c r="G1" s="5"/>
      <x:c r="H1" s="5"/>
      <x:c r="I1" s="5"/>
      <x:c r="J1" s="5"/>
      <x:c r="K1" s="5"/>
      <x:c r="L1" s="5"/>
      <x:c r="M1" s="5"/>
      <x:c r="N1" s="5"/>
      <x:c r="O1" s="5"/>
      <x:c r="P1" s="5"/>
      <x:c r="Q1" s="5"/>
    </x:row>
    <x:row r="2" ht="23" customHeight="1">
      <x:c r="A2" s="3"/>
      <x:c r="B2" s="3"/>
      <x:c r="C2" s="3"/>
      <x:c r="D2" s="3"/>
      <x:c r="E2" s="3"/>
      <x:c r="F2" s="3"/>
      <x:c r="G2" s="3"/>
      <x:c r="H2" s="3"/>
      <x:c r="I2" s="3"/>
      <x:c r="J2" s="3"/>
      <x:c r="K2" s="3"/>
      <x:c r="L2" s="3"/>
      <x:c r="M2" s="3"/>
      <x:c r="N2" s="3"/>
      <x:c r="O2" s="3"/>
      <x:c r="P2" s="3"/>
      <x:c r="Q2" s="3"/>
    </x:row>
    <x:row r="3" ht="38" customHeight="1">
      <x:c r="A3" s="7" t="str">
        <x:v>Satu baris = satu hasil tersimpan. Tidak memuat permainan demo atau data login. Waktu adalah waktu lokal perangkat ekspor.</x:v>
      </x:c>
      <x:c r="B3" s="7"/>
      <x:c r="C3" s="7"/>
      <x:c r="D3" s="7"/>
      <x:c r="E3" s="7"/>
      <x:c r="F3" s="7"/>
      <x:c r="G3" s="7"/>
      <x:c r="H3" s="7"/>
      <x:c r="I3" s="7"/>
      <x:c r="J3" s="7"/>
      <x:c r="K3" s="7"/>
      <x:c r="L3" s="7"/>
      <x:c r="M3" s="7"/>
      <x:c r="N3" s="7"/>
      <x:c r="O3" s="7"/>
      <x:c r="P3" s="7"/>
      <x:c r="Q3" s="7"/>
    </x:row>
    <x:row r="4" ht="23" customHeight="1">
      <x:c r="A4" s="3"/>
      <x:c r="B4" s="3"/>
      <x:c r="C4" s="3"/>
      <x:c r="D4" s="3"/>
      <x:c r="E4" s="3"/>
      <x:c r="F4" s="3"/>
      <x:c r="G4" s="3"/>
      <x:c r="H4" s="3"/>
      <x:c r="I4" s="3"/>
      <x:c r="J4" s="3"/>
      <x:c r="K4" s="3"/>
      <x:c r="L4" s="3"/>
      <x:c r="M4" s="3"/>
      <x:c r="N4" s="3"/>
      <x:c r="O4" s="3"/>
      <x:c r="P4" s="3"/>
      <x:c r="Q4" s="3"/>
    </x:row>
    <x:row r="5" ht="38" customHeight="1">
      <x:c r="A5" s="9" t="str">
        <x:v>Kode</x:v>
      </x:c>
      <x:c r="B5" s="9" t="str">
        <x:v>Waktu lokal</x:v>
      </x:c>
      <x:c r="C5" s="9" t="str">
        <x:v>Permainan</x:v>
      </x:c>
      <x:c r="D5" s="9" t="str">
        <x:v>ID hadiah</x:v>
      </x:c>
      <x:c r="E5" s="9" t="str">
        <x:v>Nama hadiah asli</x:v>
      </x:c>
      <x:c r="F5" s="9" t="str">
        <x:v>Kategori</x:v>
      </x:c>
      <x:c r="G5" s="9" t="str">
        <x:v>Status saat ekspor</x:v>
      </x:c>
      <x:c r="H5" s="9" t="str">
        <x:v>Unit keluar</x:v>
      </x:c>
      <x:c r="I5" s="9" t="str">
        <x:v>Unit diserahkan</x:v>
      </x:c>
      <x:c r="J5" s="9" t="str">
        <x:v>Jam lokal</x:v>
      </x:c>
      <x:c r="K5" s="9" t="str">
        <x:v>Peluang kategori</x:v>
      </x:c>
      <x:c r="L5" s="9" t="str">
        <x:v>Durasi (detik)</x:v>
      </x:c>
      <x:c r="M5" s="9" t="str">
        <x:v>Nilai diskon</x:v>
      </x:c>
      <x:c r="N5" s="9" t="str">
        <x:v>Satuan diskon</x:v>
      </x:c>
      <x:c r="O5" s="9" t="str">
        <x:v>Min. belanja (Rp)</x:v>
      </x:c>
      <x:c r="P5" s="9" t="str">
        <x:v>Waktu penyerahan</x:v>
      </x:c>
      <x:c r="Q5" s="9" t="str">
        <x:v>Waktu sumber (ISO)</x:v>
      </x:c>
    </x:row>
    <x:row r="6" ht="48" customHeight="1">
      <x:c r="A6" s="10"/>
      <x:c r="B6" s="39"/>
      <x:c r="C6" s="10"/>
      <x:c r="D6" s="10"/>
      <x:c r="E6" s="10"/>
      <x:c r="F6" s="10"/>
      <x:c r="G6" s="10"/>
      <x:c r="H6" s="10"/>
      <x:c r="I6" s="10"/>
      <x:c r="J6" s="10"/>
      <x:c r="K6" s="35"/>
      <x:c r="L6" s="40"/>
      <x:c r="M6" s="37"/>
      <x:c r="N6" s="37"/>
      <x:c r="O6" s="37"/>
      <x:c r="P6" s="39"/>
      <x:c r="Q6" s="10"/>
    </x:row>
    <x:row r="7" ht="23" customHeight="1">
      <x:c r="A7" s="3"/>
      <x:c r="B7" s="3"/>
      <x:c r="C7" s="3"/>
      <x:c r="D7" s="3"/>
      <x:c r="E7" s="3"/>
      <x:c r="F7" s="3"/>
      <x:c r="G7" s="3"/>
      <x:c r="H7" s="3"/>
      <x:c r="I7" s="3"/>
      <x:c r="J7" s="3"/>
      <x:c r="K7" s="3"/>
      <x:c r="L7" s="3"/>
      <x:c r="M7" s="3"/>
      <x:c r="N7" s="3"/>
      <x:c r="O7" s="3"/>
      <x:c r="P7" s="3"/>
      <x:c r="Q7" s="3"/>
    </x:row>
    <x:row r="8" ht="23" customHeight="1">
      <x:c r="A8" s="3"/>
      <x:c r="B8" s="3"/>
      <x:c r="C8" s="3"/>
      <x:c r="D8" s="3"/>
      <x:c r="E8" s="3"/>
      <x:c r="F8" s="3"/>
      <x:c r="G8" s="3"/>
      <x:c r="H8" s="3"/>
      <x:c r="I8" s="3"/>
      <x:c r="J8" s="3"/>
      <x:c r="K8" s="3"/>
      <x:c r="L8" s="3"/>
      <x:c r="M8" s="3"/>
      <x:c r="N8" s="3"/>
      <x:c r="O8" s="3"/>
      <x:c r="P8" s="3"/>
      <x:c r="Q8" s="3"/>
    </x:row>
    <x:row r="9" ht="23" customHeight="1">
      <x:c r="A9" s="3"/>
      <x:c r="B9" s="3"/>
      <x:c r="C9" s="3"/>
      <x:c r="D9" s="3"/>
      <x:c r="E9" s="3"/>
      <x:c r="F9" s="3"/>
      <x:c r="G9" s="3"/>
      <x:c r="H9" s="3"/>
      <x:c r="I9" s="3"/>
      <x:c r="J9" s="3"/>
      <x:c r="K9" s="3"/>
      <x:c r="L9" s="3"/>
      <x:c r="M9" s="3"/>
      <x:c r="N9" s="3"/>
      <x:c r="O9" s="3"/>
      <x:c r="P9" s="3"/>
      <x:c r="Q9" s="3"/>
    </x:row>
    <x:row r="10" ht="23" customHeight="1">
      <x:c r="A10" s="3"/>
      <x:c r="B10" s="3"/>
      <x:c r="C10" s="3"/>
      <x:c r="D10" s="3"/>
      <x:c r="E10" s="3"/>
      <x:c r="F10" s="3"/>
      <x:c r="G10" s="3"/>
      <x:c r="H10" s="3"/>
      <x:c r="I10" s="3"/>
      <x:c r="J10" s="3"/>
      <x:c r="K10" s="3"/>
      <x:c r="L10" s="3"/>
      <x:c r="M10" s="3"/>
      <x:c r="N10" s="3"/>
      <x:c r="O10" s="3"/>
      <x:c r="P10" s="3"/>
      <x:c r="Q10" s="3"/>
    </x:row>
    <x:row r="11" ht="23" customHeight="1">
      <x:c r="A11" s="3"/>
      <x:c r="B11" s="3"/>
      <x:c r="C11" s="3"/>
      <x:c r="D11" s="3"/>
      <x:c r="E11" s="3"/>
      <x:c r="F11" s="3"/>
      <x:c r="G11" s="3"/>
      <x:c r="H11" s="3"/>
      <x:c r="I11" s="3"/>
      <x:c r="J11" s="3"/>
      <x:c r="K11" s="3"/>
      <x:c r="L11" s="3"/>
      <x:c r="M11" s="3"/>
      <x:c r="N11" s="3"/>
      <x:c r="O11" s="3"/>
      <x:c r="P11" s="3"/>
      <x:c r="Q11" s="3"/>
    </x:row>
    <x:row r="12" ht="23" customHeight="1">
      <x:c r="A12" s="3"/>
      <x:c r="B12" s="3"/>
      <x:c r="C12" s="3"/>
      <x:c r="D12" s="3"/>
      <x:c r="E12" s="3"/>
      <x:c r="F12" s="3"/>
      <x:c r="G12" s="3"/>
      <x:c r="H12" s="3"/>
      <x:c r="I12" s="3"/>
      <x:c r="J12" s="3"/>
      <x:c r="K12" s="3"/>
      <x:c r="L12" s="3"/>
      <x:c r="M12" s="3"/>
      <x:c r="N12" s="3"/>
      <x:c r="O12" s="3"/>
      <x:c r="P12" s="3"/>
      <x:c r="Q12" s="3"/>
    </x:row>
    <x:row r="13" ht="23" customHeight="1">
      <x:c r="A13" s="3"/>
      <x:c r="B13" s="3"/>
      <x:c r="C13" s="3"/>
      <x:c r="D13" s="3"/>
      <x:c r="E13" s="3"/>
      <x:c r="F13" s="3"/>
      <x:c r="G13" s="3"/>
      <x:c r="H13" s="3"/>
      <x:c r="I13" s="3"/>
      <x:c r="J13" s="3"/>
      <x:c r="K13" s="3"/>
      <x:c r="L13" s="3"/>
      <x:c r="M13" s="3"/>
      <x:c r="N13" s="3"/>
      <x:c r="O13" s="3"/>
      <x:c r="P13" s="3"/>
      <x:c r="Q13" s="3"/>
    </x:row>
    <x:row r="14" ht="23" customHeight="1">
      <x:c r="A14" s="3"/>
      <x:c r="B14" s="3"/>
      <x:c r="C14" s="3"/>
      <x:c r="D14" s="3"/>
      <x:c r="E14" s="3"/>
      <x:c r="F14" s="3"/>
      <x:c r="G14" s="3"/>
      <x:c r="H14" s="3"/>
      <x:c r="I14" s="3"/>
      <x:c r="J14" s="3"/>
      <x:c r="K14" s="3"/>
      <x:c r="L14" s="3"/>
      <x:c r="M14" s="3"/>
      <x:c r="N14" s="3"/>
      <x:c r="O14" s="3"/>
      <x:c r="P14" s="3"/>
      <x:c r="Q14" s="3"/>
    </x:row>
    <x:row r="15" ht="23" customHeight="1">
      <x:c r="A15" s="3"/>
      <x:c r="B15" s="3"/>
      <x:c r="C15" s="3"/>
      <x:c r="D15" s="3"/>
      <x:c r="E15" s="3"/>
      <x:c r="F15" s="3"/>
      <x:c r="G15" s="3"/>
      <x:c r="H15" s="3"/>
      <x:c r="I15" s="3"/>
      <x:c r="J15" s="3"/>
      <x:c r="K15" s="3"/>
      <x:c r="L15" s="3"/>
      <x:c r="M15" s="3"/>
      <x:c r="N15" s="3"/>
      <x:c r="O15" s="3"/>
      <x:c r="P15" s="3"/>
      <x:c r="Q15" s="3"/>
    </x:row>
    <x:row r="16" ht="23" customHeight="1">
      <x:c r="A16" s="3"/>
      <x:c r="B16" s="3"/>
      <x:c r="C16" s="3"/>
      <x:c r="D16" s="3"/>
      <x:c r="E16" s="3"/>
      <x:c r="F16" s="3"/>
      <x:c r="G16" s="3"/>
      <x:c r="H16" s="3"/>
      <x:c r="I16" s="3"/>
      <x:c r="J16" s="3"/>
      <x:c r="K16" s="3"/>
      <x:c r="L16" s="3"/>
      <x:c r="M16" s="3"/>
      <x:c r="N16" s="3"/>
      <x:c r="O16" s="3"/>
      <x:c r="P16" s="3"/>
      <x:c r="Q16" s="3"/>
    </x:row>
    <x:row r="17" ht="23" customHeight="1">
      <x:c r="A17" s="3"/>
      <x:c r="B17" s="3"/>
      <x:c r="C17" s="3"/>
      <x:c r="D17" s="3"/>
      <x:c r="E17" s="3"/>
      <x:c r="F17" s="3"/>
      <x:c r="G17" s="3"/>
      <x:c r="H17" s="3"/>
      <x:c r="I17" s="3"/>
      <x:c r="J17" s="3"/>
      <x:c r="K17" s="3"/>
      <x:c r="L17" s="3"/>
      <x:c r="M17" s="3"/>
      <x:c r="N17" s="3"/>
      <x:c r="O17" s="3"/>
      <x:c r="P17" s="3"/>
      <x:c r="Q17" s="3"/>
    </x:row>
    <x:row r="18" ht="23" customHeight="1">
      <x:c r="A18" s="3"/>
      <x:c r="B18" s="3"/>
      <x:c r="C18" s="3"/>
      <x:c r="D18" s="3"/>
      <x:c r="E18" s="3"/>
      <x:c r="F18" s="3"/>
      <x:c r="G18" s="3"/>
      <x:c r="H18" s="3"/>
      <x:c r="I18" s="3"/>
      <x:c r="J18" s="3"/>
      <x:c r="K18" s="3"/>
      <x:c r="L18" s="3"/>
      <x:c r="M18" s="3"/>
      <x:c r="N18" s="3"/>
      <x:c r="O18" s="3"/>
      <x:c r="P18" s="3"/>
      <x:c r="Q18" s="3"/>
    </x:row>
    <x:row r="19" ht="23" customHeight="1">
      <x:c r="A19" s="3"/>
      <x:c r="B19" s="3"/>
      <x:c r="C19" s="3"/>
      <x:c r="D19" s="3"/>
      <x:c r="E19" s="3"/>
      <x:c r="F19" s="3"/>
      <x:c r="G19" s="3"/>
      <x:c r="H19" s="3"/>
      <x:c r="I19" s="3"/>
      <x:c r="J19" s="3"/>
      <x:c r="K19" s="3"/>
      <x:c r="L19" s="3"/>
      <x:c r="M19" s="3"/>
      <x:c r="N19" s="3"/>
      <x:c r="O19" s="3"/>
      <x:c r="P19" s="3"/>
      <x:c r="Q19" s="3"/>
    </x:row>
    <x:row r="20" ht="23" customHeight="1">
      <x:c r="A20" s="3"/>
      <x:c r="B20" s="3"/>
      <x:c r="C20" s="3"/>
      <x:c r="D20" s="3"/>
      <x:c r="E20" s="3"/>
      <x:c r="F20" s="3"/>
      <x:c r="G20" s="3"/>
      <x:c r="H20" s="3"/>
      <x:c r="I20" s="3"/>
      <x:c r="J20" s="3"/>
      <x:c r="K20" s="3"/>
      <x:c r="L20" s="3"/>
      <x:c r="M20" s="3"/>
      <x:c r="N20" s="3"/>
      <x:c r="O20" s="3"/>
      <x:c r="P20" s="3"/>
      <x:c r="Q20" s="3"/>
    </x:row>
    <x:row r="21" ht="23" customHeight="1">
      <x:c r="A21" s="3"/>
      <x:c r="B21" s="3"/>
      <x:c r="C21" s="3"/>
      <x:c r="D21" s="3"/>
      <x:c r="E21" s="3"/>
      <x:c r="F21" s="3"/>
      <x:c r="G21" s="3"/>
      <x:c r="H21" s="3"/>
      <x:c r="I21" s="3"/>
      <x:c r="J21" s="3"/>
      <x:c r="K21" s="3"/>
      <x:c r="L21" s="3"/>
      <x:c r="M21" s="3"/>
      <x:c r="N21" s="3"/>
      <x:c r="O21" s="3"/>
      <x:c r="P21" s="3"/>
      <x:c r="Q21" s="3"/>
    </x:row>
    <x:row r="22" ht="23" customHeight="1">
      <x:c r="A22" s="3"/>
      <x:c r="B22" s="3"/>
      <x:c r="C22" s="3"/>
      <x:c r="D22" s="3"/>
      <x:c r="E22" s="3"/>
      <x:c r="F22" s="3"/>
      <x:c r="G22" s="3"/>
      <x:c r="H22" s="3"/>
      <x:c r="I22" s="3"/>
      <x:c r="J22" s="3"/>
      <x:c r="K22" s="3"/>
      <x:c r="L22" s="3"/>
      <x:c r="M22" s="3"/>
      <x:c r="N22" s="3"/>
      <x:c r="O22" s="3"/>
      <x:c r="P22" s="3"/>
      <x:c r="Q22" s="3"/>
    </x:row>
    <x:row r="23" ht="23" customHeight="1">
      <x:c r="A23" s="3"/>
      <x:c r="B23" s="3"/>
      <x:c r="C23" s="3"/>
      <x:c r="D23" s="3"/>
      <x:c r="E23" s="3"/>
      <x:c r="F23" s="3"/>
      <x:c r="G23" s="3"/>
      <x:c r="H23" s="3"/>
      <x:c r="I23" s="3"/>
      <x:c r="J23" s="3"/>
      <x:c r="K23" s="3"/>
      <x:c r="L23" s="3"/>
      <x:c r="M23" s="3"/>
      <x:c r="N23" s="3"/>
      <x:c r="O23" s="3"/>
      <x:c r="P23" s="3"/>
      <x:c r="Q23" s="3"/>
    </x:row>
    <x:row r="24" ht="23" customHeight="1">
      <x:c r="A24" s="3"/>
      <x:c r="B24" s="3"/>
      <x:c r="C24" s="3"/>
      <x:c r="D24" s="3"/>
      <x:c r="E24" s="3"/>
      <x:c r="F24" s="3"/>
      <x:c r="G24" s="3"/>
      <x:c r="H24" s="3"/>
      <x:c r="I24" s="3"/>
      <x:c r="J24" s="3"/>
      <x:c r="K24" s="3"/>
      <x:c r="L24" s="3"/>
      <x:c r="M24" s="3"/>
      <x:c r="N24" s="3"/>
      <x:c r="O24" s="3"/>
      <x:c r="P24" s="3"/>
      <x:c r="Q24" s="3"/>
    </x:row>
    <x:row r="25" ht="23" customHeight="1">
      <x:c r="A25" s="3"/>
      <x:c r="B25" s="3"/>
      <x:c r="C25" s="3"/>
      <x:c r="D25" s="3"/>
      <x:c r="E25" s="3"/>
      <x:c r="F25" s="3"/>
      <x:c r="G25" s="3"/>
      <x:c r="H25" s="3"/>
      <x:c r="I25" s="3"/>
      <x:c r="J25" s="3"/>
      <x:c r="K25" s="3"/>
      <x:c r="L25" s="3"/>
      <x:c r="M25" s="3"/>
      <x:c r="N25" s="3"/>
      <x:c r="O25" s="3"/>
      <x:c r="P25" s="3"/>
      <x:c r="Q25" s="3"/>
    </x:row>
    <x:row r="26" ht="23" customHeight="1">
      <x:c r="A26" s="3"/>
      <x:c r="B26" s="3"/>
      <x:c r="C26" s="3"/>
      <x:c r="D26" s="3"/>
      <x:c r="E26" s="3"/>
      <x:c r="F26" s="3"/>
      <x:c r="G26" s="3"/>
      <x:c r="H26" s="3"/>
      <x:c r="I26" s="3"/>
      <x:c r="J26" s="3"/>
      <x:c r="K26" s="3"/>
      <x:c r="L26" s="3"/>
      <x:c r="M26" s="3"/>
      <x:c r="N26" s="3"/>
      <x:c r="O26" s="3"/>
      <x:c r="P26" s="3"/>
      <x:c r="Q26" s="3"/>
    </x:row>
    <x:row r="27" ht="23" customHeight="1">
      <x:c r="A27" s="3"/>
      <x:c r="B27" s="3"/>
      <x:c r="C27" s="3"/>
      <x:c r="D27" s="3"/>
      <x:c r="E27" s="3"/>
      <x:c r="F27" s="3"/>
      <x:c r="G27" s="3"/>
      <x:c r="H27" s="3"/>
      <x:c r="I27" s="3"/>
      <x:c r="J27" s="3"/>
      <x:c r="K27" s="3"/>
      <x:c r="L27" s="3"/>
      <x:c r="M27" s="3"/>
      <x:c r="N27" s="3"/>
      <x:c r="O27" s="3"/>
      <x:c r="P27" s="3"/>
      <x:c r="Q27" s="3"/>
    </x:row>
    <x:row r="28" ht="23" customHeight="1">
      <x:c r="A28" s="3"/>
      <x:c r="B28" s="3"/>
      <x:c r="C28" s="3"/>
      <x:c r="D28" s="3"/>
      <x:c r="E28" s="3"/>
      <x:c r="F28" s="3"/>
      <x:c r="G28" s="3"/>
      <x:c r="H28" s="3"/>
      <x:c r="I28" s="3"/>
      <x:c r="J28" s="3"/>
      <x:c r="K28" s="3"/>
      <x:c r="L28" s="3"/>
      <x:c r="M28" s="3"/>
      <x:c r="N28" s="3"/>
      <x:c r="O28" s="3"/>
      <x:c r="P28" s="3"/>
      <x:c r="Q28" s="3"/>
    </x:row>
    <x:row r="29" ht="23" customHeight="1">
      <x:c r="A29" s="3"/>
      <x:c r="B29" s="3"/>
      <x:c r="C29" s="3"/>
      <x:c r="D29" s="3"/>
      <x:c r="E29" s="3"/>
      <x:c r="F29" s="3"/>
      <x:c r="G29" s="3"/>
      <x:c r="H29" s="3"/>
      <x:c r="I29" s="3"/>
      <x:c r="J29" s="3"/>
      <x:c r="K29" s="3"/>
      <x:c r="L29" s="3"/>
      <x:c r="M29" s="3"/>
      <x:c r="N29" s="3"/>
      <x:c r="O29" s="3"/>
      <x:c r="P29" s="3"/>
      <x:c r="Q29" s="3"/>
    </x:row>
    <x:row r="30" ht="23" customHeight="1">
      <x:c r="A30" s="3"/>
      <x:c r="B30" s="3"/>
      <x:c r="C30" s="3"/>
      <x:c r="D30" s="3"/>
      <x:c r="E30" s="3"/>
      <x:c r="F30" s="3"/>
      <x:c r="G30" s="3"/>
      <x:c r="H30" s="3"/>
      <x:c r="I30" s="3"/>
      <x:c r="J30" s="3"/>
      <x:c r="K30" s="3"/>
      <x:c r="L30" s="3"/>
      <x:c r="M30" s="3"/>
      <x:c r="N30" s="3"/>
      <x:c r="O30" s="3"/>
      <x:c r="P30" s="3"/>
      <x:c r="Q30" s="3"/>
    </x:row>
    <x:row r="31" ht="23" customHeight="1">
      <x:c r="A31" s="3"/>
      <x:c r="B31" s="3"/>
      <x:c r="C31" s="3"/>
      <x:c r="D31" s="3"/>
      <x:c r="E31" s="3"/>
      <x:c r="F31" s="3"/>
      <x:c r="G31" s="3"/>
      <x:c r="H31" s="3"/>
      <x:c r="I31" s="3"/>
      <x:c r="J31" s="3"/>
      <x:c r="K31" s="3"/>
      <x:c r="L31" s="3"/>
      <x:c r="M31" s="3"/>
      <x:c r="N31" s="3"/>
      <x:c r="O31" s="3"/>
      <x:c r="P31" s="3"/>
      <x:c r="Q31" s="3"/>
    </x:row>
    <x:row r="32" ht="23" customHeight="1">
      <x:c r="A32" s="3"/>
      <x:c r="B32" s="3"/>
      <x:c r="C32" s="3"/>
      <x:c r="D32" s="3"/>
      <x:c r="E32" s="3"/>
      <x:c r="F32" s="3"/>
      <x:c r="G32" s="3"/>
      <x:c r="H32" s="3"/>
      <x:c r="I32" s="3"/>
      <x:c r="J32" s="3"/>
      <x:c r="K32" s="3"/>
      <x:c r="L32" s="3"/>
      <x:c r="M32" s="3"/>
      <x:c r="N32" s="3"/>
      <x:c r="O32" s="3"/>
      <x:c r="P32" s="3"/>
      <x:c r="Q32" s="3"/>
    </x:row>
    <x:row r="33" ht="23" customHeight="1">
      <x:c r="A33" s="3"/>
      <x:c r="B33" s="3"/>
      <x:c r="C33" s="3"/>
      <x:c r="D33" s="3"/>
      <x:c r="E33" s="3"/>
      <x:c r="F33" s="3"/>
      <x:c r="G33" s="3"/>
      <x:c r="H33" s="3"/>
      <x:c r="I33" s="3"/>
      <x:c r="J33" s="3"/>
      <x:c r="K33" s="3"/>
      <x:c r="L33" s="3"/>
      <x:c r="M33" s="3"/>
      <x:c r="N33" s="3"/>
      <x:c r="O33" s="3"/>
      <x:c r="P33" s="3"/>
      <x:c r="Q33" s="3"/>
    </x:row>
    <x:row r="34" ht="23" customHeight="1">
      <x:c r="A34" s="3"/>
      <x:c r="B34" s="3"/>
      <x:c r="C34" s="3"/>
      <x:c r="D34" s="3"/>
      <x:c r="E34" s="3"/>
      <x:c r="F34" s="3"/>
      <x:c r="G34" s="3"/>
      <x:c r="H34" s="3"/>
      <x:c r="I34" s="3"/>
      <x:c r="J34" s="3"/>
      <x:c r="K34" s="3"/>
      <x:c r="L34" s="3"/>
      <x:c r="M34" s="3"/>
      <x:c r="N34" s="3"/>
      <x:c r="O34" s="3"/>
      <x:c r="P34" s="3"/>
      <x:c r="Q34" s="3"/>
    </x:row>
    <x:row r="35" ht="23" customHeight="1">
      <x:c r="A35" s="3"/>
      <x:c r="B35" s="3"/>
      <x:c r="C35" s="3"/>
      <x:c r="D35" s="3"/>
      <x:c r="E35" s="3"/>
      <x:c r="F35" s="3"/>
      <x:c r="G35" s="3"/>
      <x:c r="H35" s="3"/>
      <x:c r="I35" s="3"/>
      <x:c r="J35" s="3"/>
      <x:c r="K35" s="3"/>
      <x:c r="L35" s="3"/>
      <x:c r="M35" s="3"/>
      <x:c r="N35" s="3"/>
      <x:c r="O35" s="3"/>
      <x:c r="P35" s="3"/>
      <x:c r="Q35" s="3"/>
    </x:row>
    <x:row r="36" ht="23" customHeight="1">
      <x:c r="A36" s="3"/>
      <x:c r="B36" s="3"/>
      <x:c r="C36" s="3"/>
      <x:c r="D36" s="3"/>
      <x:c r="E36" s="3"/>
      <x:c r="F36" s="3"/>
      <x:c r="G36" s="3"/>
      <x:c r="H36" s="3"/>
      <x:c r="I36" s="3"/>
      <x:c r="J36" s="3"/>
      <x:c r="K36" s="3"/>
      <x:c r="L36" s="3"/>
      <x:c r="M36" s="3"/>
      <x:c r="N36" s="3"/>
      <x:c r="O36" s="3"/>
      <x:c r="P36" s="3"/>
      <x:c r="Q36" s="3"/>
    </x:row>
    <x:row r="37" ht="23" customHeight="1">
      <x:c r="A37" s="3"/>
      <x:c r="B37" s="3"/>
      <x:c r="C37" s="3"/>
      <x:c r="D37" s="3"/>
      <x:c r="E37" s="3"/>
      <x:c r="F37" s="3"/>
      <x:c r="G37" s="3"/>
      <x:c r="H37" s="3"/>
      <x:c r="I37" s="3"/>
      <x:c r="J37" s="3"/>
      <x:c r="K37" s="3"/>
      <x:c r="L37" s="3"/>
      <x:c r="M37" s="3"/>
      <x:c r="N37" s="3"/>
      <x:c r="O37" s="3"/>
      <x:c r="P37" s="3"/>
      <x:c r="Q37" s="3"/>
    </x:row>
    <x:row r="38" ht="23" customHeight="1">
      <x:c r="A38" s="3"/>
      <x:c r="B38" s="3"/>
      <x:c r="C38" s="3"/>
      <x:c r="D38" s="3"/>
      <x:c r="E38" s="3"/>
      <x:c r="F38" s="3"/>
      <x:c r="G38" s="3"/>
      <x:c r="H38" s="3"/>
      <x:c r="I38" s="3"/>
      <x:c r="J38" s="3"/>
      <x:c r="K38" s="3"/>
      <x:c r="L38" s="3"/>
      <x:c r="M38" s="3"/>
      <x:c r="N38" s="3"/>
      <x:c r="O38" s="3"/>
      <x:c r="P38" s="3"/>
      <x:c r="Q38" s="3"/>
    </x:row>
    <x:row r="39" ht="23" customHeight="1">
      <x:c r="A39" s="3"/>
      <x:c r="B39" s="3"/>
      <x:c r="C39" s="3"/>
      <x:c r="D39" s="3"/>
      <x:c r="E39" s="3"/>
      <x:c r="F39" s="3"/>
      <x:c r="G39" s="3"/>
      <x:c r="H39" s="3"/>
      <x:c r="I39" s="3"/>
      <x:c r="J39" s="3"/>
      <x:c r="K39" s="3"/>
      <x:c r="L39" s="3"/>
      <x:c r="M39" s="3"/>
      <x:c r="N39" s="3"/>
      <x:c r="O39" s="3"/>
      <x:c r="P39" s="3"/>
      <x:c r="Q39" s="3"/>
    </x:row>
    <x:row r="40" ht="23" customHeight="1">
      <x:c r="A40" s="3"/>
      <x:c r="B40" s="3"/>
      <x:c r="C40" s="3"/>
      <x:c r="D40" s="3"/>
      <x:c r="E40" s="3"/>
      <x:c r="F40" s="3"/>
      <x:c r="G40" s="3"/>
      <x:c r="H40" s="3"/>
      <x:c r="I40" s="3"/>
      <x:c r="J40" s="3"/>
      <x:c r="K40" s="3"/>
      <x:c r="L40" s="3"/>
      <x:c r="M40" s="3"/>
      <x:c r="N40" s="3"/>
      <x:c r="O40" s="3"/>
      <x:c r="P40" s="3"/>
      <x:c r="Q40" s="3"/>
    </x:row>
    <x:row r="41" ht="23" customHeight="1">
      <x:c r="A41" s="3"/>
      <x:c r="B41" s="3"/>
      <x:c r="C41" s="3"/>
      <x:c r="D41" s="3"/>
      <x:c r="E41" s="3"/>
      <x:c r="F41" s="3"/>
      <x:c r="G41" s="3"/>
      <x:c r="H41" s="3"/>
      <x:c r="I41" s="3"/>
      <x:c r="J41" s="3"/>
      <x:c r="K41" s="3"/>
      <x:c r="L41" s="3"/>
      <x:c r="M41" s="3"/>
      <x:c r="N41" s="3"/>
      <x:c r="O41" s="3"/>
      <x:c r="P41" s="3"/>
      <x:c r="Q41" s="3"/>
    </x:row>
    <x:row r="42" ht="23" customHeight="1">
      <x:c r="A42" s="3"/>
      <x:c r="B42" s="3"/>
      <x:c r="C42" s="3"/>
      <x:c r="D42" s="3"/>
      <x:c r="E42" s="3"/>
      <x:c r="F42" s="3"/>
      <x:c r="G42" s="3"/>
      <x:c r="H42" s="3"/>
      <x:c r="I42" s="3"/>
      <x:c r="J42" s="3"/>
      <x:c r="K42" s="3"/>
      <x:c r="L42" s="3"/>
      <x:c r="M42" s="3"/>
      <x:c r="N42" s="3"/>
      <x:c r="O42" s="3"/>
      <x:c r="P42" s="3"/>
      <x:c r="Q42" s="3"/>
    </x:row>
    <x:row r="43" ht="23" customHeight="1">
      <x:c r="A43" s="3"/>
      <x:c r="B43" s="3"/>
      <x:c r="C43" s="3"/>
      <x:c r="D43" s="3"/>
      <x:c r="E43" s="3"/>
      <x:c r="F43" s="3"/>
      <x:c r="G43" s="3"/>
      <x:c r="H43" s="3"/>
      <x:c r="I43" s="3"/>
      <x:c r="J43" s="3"/>
      <x:c r="K43" s="3"/>
      <x:c r="L43" s="3"/>
      <x:c r="M43" s="3"/>
      <x:c r="N43" s="3"/>
      <x:c r="O43" s="3"/>
      <x:c r="P43" s="3"/>
      <x:c r="Q43" s="3"/>
    </x:row>
    <x:row r="44" ht="23" customHeight="1">
      <x:c r="A44" s="3"/>
      <x:c r="B44" s="3"/>
      <x:c r="C44" s="3"/>
      <x:c r="D44" s="3"/>
      <x:c r="E44" s="3"/>
      <x:c r="F44" s="3"/>
      <x:c r="G44" s="3"/>
      <x:c r="H44" s="3"/>
      <x:c r="I44" s="3"/>
      <x:c r="J44" s="3"/>
      <x:c r="K44" s="3"/>
      <x:c r="L44" s="3"/>
      <x:c r="M44" s="3"/>
      <x:c r="N44" s="3"/>
      <x:c r="O44" s="3"/>
      <x:c r="P44" s="3"/>
      <x:c r="Q44" s="3"/>
    </x:row>
    <x:row r="45" ht="23" customHeight="1">
      <x:c r="A45" s="3"/>
      <x:c r="B45" s="3"/>
      <x:c r="C45" s="3"/>
      <x:c r="D45" s="3"/>
      <x:c r="E45" s="3"/>
      <x:c r="F45" s="3"/>
      <x:c r="G45" s="3"/>
      <x:c r="H45" s="3"/>
      <x:c r="I45" s="3"/>
      <x:c r="J45" s="3"/>
      <x:c r="K45" s="3"/>
      <x:c r="L45" s="3"/>
      <x:c r="M45" s="3"/>
      <x:c r="N45" s="3"/>
      <x:c r="O45" s="3"/>
      <x:c r="P45" s="3"/>
      <x:c r="Q45" s="3"/>
    </x:row>
    <x:row r="46" ht="23" customHeight="1">
      <x:c r="A46" s="3"/>
      <x:c r="B46" s="3"/>
      <x:c r="C46" s="3"/>
      <x:c r="D46" s="3"/>
      <x:c r="E46" s="3"/>
      <x:c r="F46" s="3"/>
      <x:c r="G46" s="3"/>
      <x:c r="H46" s="3"/>
      <x:c r="I46" s="3"/>
      <x:c r="J46" s="3"/>
      <x:c r="K46" s="3"/>
      <x:c r="L46" s="3"/>
      <x:c r="M46" s="3"/>
      <x:c r="N46" s="3"/>
      <x:c r="O46" s="3"/>
      <x:c r="P46" s="3"/>
      <x:c r="Q46" s="3"/>
    </x:row>
    <x:row r="47" ht="23" customHeight="1">
      <x:c r="A47" s="3"/>
      <x:c r="B47" s="3"/>
      <x:c r="C47" s="3"/>
      <x:c r="D47" s="3"/>
      <x:c r="E47" s="3"/>
      <x:c r="F47" s="3"/>
      <x:c r="G47" s="3"/>
      <x:c r="H47" s="3"/>
      <x:c r="I47" s="3"/>
      <x:c r="J47" s="3"/>
      <x:c r="K47" s="3"/>
      <x:c r="L47" s="3"/>
      <x:c r="M47" s="3"/>
      <x:c r="N47" s="3"/>
      <x:c r="O47" s="3"/>
      <x:c r="P47" s="3"/>
      <x:c r="Q47" s="3"/>
    </x:row>
    <x:row r="48" ht="23" customHeight="1">
      <x:c r="A48" s="3"/>
      <x:c r="B48" s="3"/>
      <x:c r="C48" s="3"/>
      <x:c r="D48" s="3"/>
      <x:c r="E48" s="3"/>
      <x:c r="F48" s="3"/>
      <x:c r="G48" s="3"/>
      <x:c r="H48" s="3"/>
      <x:c r="I48" s="3"/>
      <x:c r="J48" s="3"/>
      <x:c r="K48" s="3"/>
      <x:c r="L48" s="3"/>
      <x:c r="M48" s="3"/>
      <x:c r="N48" s="3"/>
      <x:c r="O48" s="3"/>
      <x:c r="P48" s="3"/>
      <x:c r="Q48" s="3"/>
    </x:row>
    <x:row r="49" ht="23" customHeight="1">
      <x:c r="A49" s="3"/>
      <x:c r="B49" s="3"/>
      <x:c r="C49" s="3"/>
      <x:c r="D49" s="3"/>
      <x:c r="E49" s="3"/>
      <x:c r="F49" s="3"/>
      <x:c r="G49" s="3"/>
      <x:c r="H49" s="3"/>
      <x:c r="I49" s="3"/>
      <x:c r="J49" s="3"/>
      <x:c r="K49" s="3"/>
      <x:c r="L49" s="3"/>
      <x:c r="M49" s="3"/>
      <x:c r="N49" s="3"/>
      <x:c r="O49" s="3"/>
      <x:c r="P49" s="3"/>
      <x:c r="Q49" s="3"/>
    </x:row>
    <x:row r="50" ht="23" customHeight="1">
      <x:c r="A50" s="3"/>
      <x:c r="B50" s="3"/>
      <x:c r="C50" s="3"/>
      <x:c r="D50" s="3"/>
      <x:c r="E50" s="3"/>
      <x:c r="F50" s="3"/>
      <x:c r="G50" s="3"/>
      <x:c r="H50" s="3"/>
      <x:c r="I50" s="3"/>
      <x:c r="J50" s="3"/>
      <x:c r="K50" s="3"/>
      <x:c r="L50" s="3"/>
      <x:c r="M50" s="3"/>
      <x:c r="N50" s="3"/>
      <x:c r="O50" s="3"/>
      <x:c r="P50" s="3"/>
      <x:c r="Q50" s="3"/>
    </x:row>
  </x:sheetData>
  <x:mergeCells>
    <x:mergeCell ref="A1:Q1"/>
    <x:mergeCell ref="A3:Q3"/>
  </x:mergeCells>
  <x:pageMargins left="0.7" right="0.7" top="0.75" bottom="0.75" header="0.3" footer="0.3"/>
  <x:tableParts count="1">
    <x:tablePart xmlns:r="http://schemas.openxmlformats.org/officeDocument/2006/relationships" r:id="R9f08cee0a47546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18" hidden="0" customWidth="1"/>
    <x:col min="3" max="3" width="12" hidden="0" customWidth="1"/>
    <x:col min="4" max="4" width="12" hidden="0" customWidth="1"/>
    <x:col min="5" max="5" width="12" hidden="0" customWidth="1"/>
    <x:col min="6" max="6" width="12" hidden="0" customWidth="1"/>
    <x:col min="7" max="7" width="12" hidden="0" customWidth="1"/>
    <x:col min="8" max="8" width="24" hidden="0" customWidth="1"/>
    <x:col min="9" max="9" width="18" hidden="0" customWidth="1"/>
    <x:col min="10" max="10" width="18" hidden="0" customWidth="1"/>
    <x:col min="11" max="11" width="12" hidden="0" customWidth="1"/>
    <x:col min="12" max="12" width="12" hidden="0" customWidth="1"/>
  </x:cols>
  <x:sheetData>
    <x:row r="1" ht="48" customHeight="1">
      <x:c r="A1" s="5" t="str">
        <x:v>RINGKASAN / PERHITUNGAN</x:v>
      </x:c>
      <x:c r="B1" s="5"/>
      <x:c r="C1" s="5"/>
      <x:c r="D1" s="5"/>
      <x:c r="E1" s="5"/>
      <x:c r="F1" s="5"/>
      <x:c r="G1" s="5"/>
      <x:c r="H1" s="5"/>
      <x:c r="I1" s="5"/>
      <x:c r="J1" s="5"/>
      <x:c r="K1" s="5"/>
      <x:c r="L1" s="5"/>
    </x:row>
    <x:row r="2" ht="23" customHeight="1">
      <x:c r="A2" s="3" t="str">
        <x:v>Filter valid</x:v>
      </x:c>
      <x:c r="B2" s="3" t="b">
        <x:f>AND(ISNUMBER('Dashboard'!A5),ISNUMBER('Dashboard'!E5),'Dashboard'!A5&lt;='Dashboard'!E5)</x:f>
        <x:v>1</x:v>
      </x:c>
      <x:c r="C2" s="3"/>
      <x:c r="D2" s="3"/>
      <x:c r="E2" s="3"/>
      <x:c r="F2" s="3"/>
      <x:c r="G2" s="3"/>
      <x:c r="H2" s="3"/>
      <x:c r="I2" s="3"/>
      <x:c r="J2" s="3"/>
      <x:c r="K2" s="3"/>
      <x:c r="L2" s="3"/>
    </x:row>
    <x:row r="3" ht="38" customHeight="1">
      <x:c r="A3" s="7" t="str">
        <x:v>Tabel formula yang menjadi sumber grafik dan rekomendasi. Tanggal, game dan status dapat ditelusuri ke Data Permainan.</x:v>
      </x:c>
      <x:c r="B3" s="7"/>
      <x:c r="C3" s="7"/>
      <x:c r="D3" s="7"/>
      <x:c r="E3" s="7"/>
      <x:c r="F3" s="7"/>
      <x:c r="G3" s="7"/>
      <x:c r="H3" s="7"/>
      <x:c r="I3" s="7"/>
      <x:c r="J3" s="7"/>
      <x:c r="K3" s="7"/>
      <x:c r="L3" s="7"/>
    </x:row>
    <x:row r="4" ht="38" customHeight="1">
      <x:c r="A4" s="9" t="str">
        <x:v>Metrik</x:v>
      </x:c>
      <x:c r="B4" s="9" t="str">
        <x:v>Nilai</x:v>
      </x:c>
      <x:c r="C4" s="3"/>
      <x:c r="D4" s="3"/>
      <x:c r="E4" s="3"/>
      <x:c r="F4" s="3"/>
      <x:c r="G4" s="3"/>
      <x:c r="H4" s="9" t="str">
        <x:v>Permainan</x:v>
      </x:c>
      <x:c r="I4" s="9" t="str">
        <x:v>Jumlah</x:v>
      </x:c>
      <x:c r="J4" s="3"/>
      <x:c r="K4" s="3"/>
      <x:c r="L4" s="3"/>
    </x:row>
    <x:row r="5" ht="23" customHeight="1">
      <x:c r="A5" s="3" t="str">
        <x:v>Permainan</x:v>
      </x:c>
      <x:c r="B5" s="3" t="n">
        <x:f>IF('Ringkasan'!$B$2,COUNTIFS('Data Permainan'!$B$6:$B$6,"&gt;="&amp;'Dashboard'!$A$5,'Data Permainan'!$B$6:$B$6,"&lt;"&amp;('Dashboard'!$E$5+1),'Data Permainan'!$C$6:$C$6,IF('Dashboard'!$I$5="Semua","*",'Dashboard'!$I$5)),0)</x:f>
        <x:v>0</x:v>
      </x:c>
      <x:c r="C5" s="3"/>
      <x:c r="D5" s="3"/>
      <x:c r="E5" s="3"/>
      <x:c r="F5" s="3"/>
      <x:c r="G5" s="3"/>
      <x:c r="H5" s="3" t="str">
        <x:v>Spin &amp; Win</x:v>
      </x:c>
      <x:c r="I5" s="3" t="n">
        <x:f>IF('Ringkasan'!$B$2,COUNTIFS('Data Permainan'!$B$6:$B$6,"&gt;="&amp;'Dashboard'!$A$5,'Data Permainan'!$B$6:$B$6,"&lt;"&amp;('Dashboard'!$E$5+1),'Data Permainan'!$C$6:$C$6,IF('Dashboard'!$I$5="Semua","*",'Dashboard'!$I$5),'Data Permainan'!$C$6:$C$6,H5),0)</x:f>
        <x:v>0</x:v>
      </x:c>
      <x:c r="J5" s="3"/>
      <x:c r="K5" s="3"/>
      <x:c r="L5" s="3"/>
    </x:row>
    <x:row r="6" ht="23" customHeight="1">
      <x:c r="A6" s="3" t="str">
        <x:v>Hadiah keluar</x:v>
      </x:c>
      <x:c r="B6" s="3" t="n">
        <x:f>IF('Ringkasan'!$B$2,SUMIFS('Data Permainan'!$H$6:$H$6,'Data Permainan'!$B$6:$B$6,"&gt;="&amp;'Dashboard'!$A$5,'Data Permainan'!$B$6:$B$6,"&lt;"&amp;('Dashboard'!$E$5+1),'Data Permainan'!$C$6:$C$6,IF('Dashboard'!$I$5="Semua","*",'Dashboard'!$I$5)),0)</x:f>
        <x:v>0</x:v>
      </x:c>
      <x:c r="C6" s="3"/>
      <x:c r="D6" s="3"/>
      <x:c r="E6" s="3"/>
      <x:c r="F6" s="3"/>
      <x:c r="G6" s="3"/>
      <x:c r="H6" s="3" t="str">
        <x:v>Beauty Box</x:v>
      </x:c>
      <x:c r="I6" s="3" t="n">
        <x:f>IF('Ringkasan'!$B$2,COUNTIFS('Data Permainan'!$B$6:$B$6,"&gt;="&amp;'Dashboard'!$A$5,'Data Permainan'!$B$6:$B$6,"&lt;"&amp;('Dashboard'!$E$5+1),'Data Permainan'!$C$6:$C$6,IF('Dashboard'!$I$5="Semua","*",'Dashboard'!$I$5),'Data Permainan'!$C$6:$C$6,H6),0)</x:f>
        <x:v>0</x:v>
      </x:c>
      <x:c r="J6" s="3"/>
      <x:c r="K6" s="3"/>
      <x:c r="L6" s="3"/>
    </x:row>
    <x:row r="7" ht="23" customHeight="1">
      <x:c r="A7" s="3" t="str">
        <x:v>Diserahkan</x:v>
      </x:c>
      <x:c r="B7" s="3" t="n">
        <x:f>IF('Ringkasan'!$B$2,SUMIFS('Data Permainan'!$I$6:$I$6,'Data Permainan'!$B$6:$B$6,"&gt;="&amp;'Dashboard'!$A$5,'Data Permainan'!$B$6:$B$6,"&lt;"&amp;('Dashboard'!$E$5+1),'Data Permainan'!$C$6:$C$6,IF('Dashboard'!$I$5="Semua","*",'Dashboard'!$I$5)),0)</x:f>
        <x:v>0</x:v>
      </x:c>
      <x:c r="C7" s="3"/>
      <x:c r="D7" s="3"/>
      <x:c r="E7" s="3"/>
      <x:c r="F7" s="3"/>
      <x:c r="G7" s="3"/>
      <x:c r="H7" s="3"/>
      <x:c r="I7" s="3"/>
      <x:c r="J7" s="3"/>
      <x:c r="K7" s="3"/>
      <x:c r="L7" s="3"/>
    </x:row>
    <x:row r="8" ht="23" customHeight="1">
      <x:c r="A8" s="3" t="str">
        <x:v>Belum diserahkan</x:v>
      </x:c>
      <x:c r="B8" s="3" t="n">
        <x:f>B6-B7</x:f>
        <x:v>0</x:v>
      </x:c>
      <x:c r="C8" s="3"/>
      <x:c r="D8" s="3"/>
      <x:c r="E8" s="3"/>
      <x:c r="F8" s="3"/>
      <x:c r="G8" s="3"/>
      <x:c r="H8" s="3"/>
      <x:c r="I8" s="3"/>
      <x:c r="J8" s="3"/>
      <x:c r="K8" s="3"/>
      <x:c r="L8" s="3"/>
    </x:row>
    <x:row r="9" ht="38" customHeight="1">
      <x:c r="A9" s="3" t="str">
        <x:v>Zonk</x:v>
      </x:c>
      <x:c r="B9" s="3" t="n">
        <x:f>B5-B6</x:f>
        <x:v>0</x:v>
      </x:c>
      <x:c r="C9" s="3"/>
      <x:c r="D9" s="3"/>
      <x:c r="E9" s="3"/>
      <x:c r="F9" s="3"/>
      <x:c r="G9" s="3"/>
      <x:c r="H9" s="9" t="str">
        <x:v>Kategori</x:v>
      </x:c>
      <x:c r="I9" s="9" t="str">
        <x:v>Jumlah hasil</x:v>
      </x:c>
      <x:c r="J9" s="3"/>
      <x:c r="K9" s="3"/>
      <x:c r="L9" s="3"/>
    </x:row>
    <x:row r="10" ht="23" customHeight="1">
      <x:c r="A10" s="3" t="str">
        <x:v>Rasio penyerahan</x:v>
      </x:c>
      <x:c r="B10" s="41" t="n">
        <x:f>IFERROR(B7/B6,0)</x:f>
        <x:v>0</x:v>
      </x:c>
      <x:c r="C10" s="3"/>
      <x:c r="D10" s="3"/>
      <x:c r="E10" s="3"/>
      <x:c r="F10" s="3"/>
      <x:c r="G10" s="3"/>
      <x:c r="H10" s="3" t="str">
        <x:v>Hadiah utama</x:v>
      </x:c>
      <x:c r="I10" s="3" t="n">
        <x:f>IF('Ringkasan'!$B$2,COUNTIFS('Data Permainan'!$B$6:$B$6,"&gt;="&amp;'Dashboard'!$A$5,'Data Permainan'!$B$6:$B$6,"&lt;"&amp;('Dashboard'!$E$5+1),'Data Permainan'!$C$6:$C$6,IF('Dashboard'!$I$5="Semua","*",'Dashboard'!$I$5),'Data Permainan'!$F$6:$F$6,H10),0)</x:f>
        <x:v>0</x:v>
      </x:c>
      <x:c r="J10" s="3"/>
      <x:c r="K10" s="3"/>
      <x:c r="L10" s="3"/>
    </x:row>
    <x:row r="11" ht="23" customHeight="1">
      <x:c r="A11" s="3" t="str">
        <x:v>Rasio zonk</x:v>
      </x:c>
      <x:c r="B11" s="41" t="n">
        <x:f>IFERROR(B9/B5,0)</x:f>
        <x:v>0</x:v>
      </x:c>
      <x:c r="C11" s="3"/>
      <x:c r="D11" s="3"/>
      <x:c r="E11" s="3"/>
      <x:c r="F11" s="3"/>
      <x:c r="G11" s="3"/>
      <x:c r="H11" s="3" t="str">
        <x:v>Bundling</x:v>
      </x:c>
      <x:c r="I11" s="3" t="n">
        <x:f>IF('Ringkasan'!$B$2,COUNTIFS('Data Permainan'!$B$6:$B$6,"&gt;="&amp;'Dashboard'!$A$5,'Data Permainan'!$B$6:$B$6,"&lt;"&amp;('Dashboard'!$E$5+1),'Data Permainan'!$C$6:$C$6,IF('Dashboard'!$I$5="Semua","*",'Dashboard'!$I$5),'Data Permainan'!$F$6:$F$6,H11),0)</x:f>
        <x:v>0</x:v>
      </x:c>
      <x:c r="J11" s="3"/>
      <x:c r="K11" s="3"/>
      <x:c r="L11" s="3"/>
    </x:row>
    <x:row r="12" ht="23" customHeight="1">
      <x:c r="A12" s="3" t="str">
        <x:v>Stok saat ekspor</x:v>
      </x:c>
      <x:c r="B12" s="3" t="n">
        <x:f>SUM('Inventori'!D6:D20)</x:f>
        <x:v>266</x:v>
      </x:c>
      <x:c r="C12" s="3"/>
      <x:c r="D12" s="3"/>
      <x:c r="E12" s="3"/>
      <x:c r="F12" s="3"/>
      <x:c r="G12" s="3"/>
      <x:c r="H12" s="3" t="str">
        <x:v>Voucher</x:v>
      </x:c>
      <x:c r="I12" s="3" t="n">
        <x:f>IF('Ringkasan'!$B$2,COUNTIFS('Data Permainan'!$B$6:$B$6,"&gt;="&amp;'Dashboard'!$A$5,'Data Permainan'!$B$6:$B$6,"&lt;"&amp;('Dashboard'!$E$5+1),'Data Permainan'!$C$6:$C$6,IF('Dashboard'!$I$5="Semua","*",'Dashboard'!$I$5),'Data Permainan'!$F$6:$F$6,H12),0)</x:f>
        <x:v>0</x:v>
      </x:c>
      <x:c r="J12" s="3"/>
      <x:c r="K12" s="3"/>
      <x:c r="L12" s="3"/>
    </x:row>
    <x:row r="13" ht="23" customHeight="1">
      <x:c r="A13" s="3"/>
      <x:c r="B13" s="3"/>
      <x:c r="C13" s="3"/>
      <x:c r="D13" s="3"/>
      <x:c r="E13" s="3"/>
      <x:c r="F13" s="3"/>
      <x:c r="G13" s="3"/>
      <x:c r="H13" s="3" t="str">
        <x:v>Produk</x:v>
      </x:c>
      <x:c r="I13" s="3" t="n">
        <x:f>IF('Ringkasan'!$B$2,COUNTIFS('Data Permainan'!$B$6:$B$6,"&gt;="&amp;'Dashboard'!$A$5,'Data Permainan'!$B$6:$B$6,"&lt;"&amp;('Dashboard'!$E$5+1),'Data Permainan'!$C$6:$C$6,IF('Dashboard'!$I$5="Semua","*",'Dashboard'!$I$5),'Data Permainan'!$F$6:$F$6,H13),0)</x:f>
        <x:v>0</x:v>
      </x:c>
      <x:c r="J13" s="3"/>
      <x:c r="K13" s="3"/>
      <x:c r="L13" s="3"/>
    </x:row>
    <x:row r="14" ht="23" customHeight="1">
      <x:c r="A14" s="3"/>
      <x:c r="B14" s="3"/>
      <x:c r="C14" s="3"/>
      <x:c r="D14" s="3"/>
      <x:c r="E14" s="3"/>
      <x:c r="F14" s="3"/>
      <x:c r="G14" s="3"/>
      <x:c r="H14" s="3" t="str">
        <x:v>Zonk</x:v>
      </x:c>
      <x:c r="I14" s="3" t="n">
        <x:f>IF('Ringkasan'!$B$2,COUNTIFS('Data Permainan'!$B$6:$B$6,"&gt;="&amp;'Dashboard'!$A$5,'Data Permainan'!$B$6:$B$6,"&lt;"&amp;('Dashboard'!$E$5+1),'Data Permainan'!$C$6:$C$6,IF('Dashboard'!$I$5="Semua","*",'Dashboard'!$I$5),'Data Permainan'!$F$6:$F$6,H14),0)</x:f>
        <x:v>0</x:v>
      </x:c>
      <x:c r="J14" s="3"/>
      <x:c r="K14" s="3"/>
      <x:c r="L14" s="3"/>
    </x:row>
    <x:row r="15" ht="23" customHeight="1">
      <x:c r="A15" s="3"/>
      <x:c r="B15" s="3"/>
      <x:c r="C15" s="3"/>
      <x:c r="D15" s="3"/>
      <x:c r="E15" s="3"/>
      <x:c r="F15" s="3"/>
      <x:c r="G15" s="3"/>
      <x:c r="H15" s="3"/>
      <x:c r="I15" s="3"/>
      <x:c r="J15" s="3"/>
      <x:c r="K15" s="3"/>
      <x:c r="L15" s="3"/>
    </x:row>
    <x:row r="16" ht="23" customHeight="1">
      <x:c r="A16" s="3"/>
      <x:c r="B16" s="3"/>
      <x:c r="C16" s="3"/>
      <x:c r="D16" s="3"/>
      <x:c r="E16" s="3"/>
      <x:c r="F16" s="3"/>
      <x:c r="G16" s="3"/>
      <x:c r="H16" s="3"/>
      <x:c r="I16" s="3"/>
      <x:c r="J16" s="3"/>
      <x:c r="K16" s="3"/>
      <x:c r="L16" s="3"/>
    </x:row>
    <x:row r="17" ht="23" customHeight="1">
      <x:c r="A17" s="3"/>
      <x:c r="B17" s="3"/>
      <x:c r="C17" s="3"/>
      <x:c r="D17" s="3"/>
      <x:c r="E17" s="3"/>
      <x:c r="F17" s="3"/>
      <x:c r="G17" s="3"/>
      <x:c r="H17" s="3"/>
      <x:c r="I17" s="3"/>
      <x:c r="J17" s="3"/>
      <x:c r="K17" s="3"/>
      <x:c r="L17" s="3"/>
    </x:row>
    <x:row r="18" ht="38" customHeight="1">
      <x:c r="A18" s="3" t="str">
        <x:v>Jam (angka)</x:v>
      </x:c>
      <x:c r="B18" s="3"/>
      <x:c r="C18" s="3"/>
      <x:c r="D18" s="3"/>
      <x:c r="E18" s="3"/>
      <x:c r="F18" s="3"/>
      <x:c r="G18" s="3"/>
      <x:c r="H18" s="9" t="str">
        <x:v>Jam</x:v>
      </x:c>
      <x:c r="I18" s="9" t="str">
        <x:v>Spin &amp; Win</x:v>
      </x:c>
      <x:c r="J18" s="9" t="str">
        <x:v>Beauty Box</x:v>
      </x:c>
      <x:c r="K18" s="3"/>
      <x:c r="L18" s="3"/>
    </x:row>
    <x:row r="19" ht="23" customHeight="1">
      <x:c r="A19" s="3" t="n">
        <x:v>0</x:v>
      </x:c>
      <x:c r="B19" s="3"/>
      <x:c r="C19" s="3"/>
      <x:c r="D19" s="3"/>
      <x:c r="E19" s="3"/>
      <x:c r="F19" s="3"/>
      <x:c r="G19" s="3"/>
      <x:c r="H19" s="3" t="str">
        <x:v>00:00</x:v>
      </x:c>
      <x:c r="I19" s="3" t="n">
        <x:f>IF('Ringkasan'!$B$2,COUNTIFS('Data Permainan'!$B$6:$B$6,"&gt;="&amp;'Dashboard'!$A$5,'Data Permainan'!$B$6:$B$6,"&lt;"&amp;('Dashboard'!$E$5+1),'Data Permainan'!$C$6:$C$6,IF('Dashboard'!$I$5="Semua","*",'Dashboard'!$I$5),'Data Permainan'!$J$6:$J$6,A19,'Data Permainan'!$C$6:$C$6,I$18),0)</x:f>
        <x:v>0</x:v>
      </x:c>
      <x:c r="J19" s="3" t="n">
        <x:f>IF('Ringkasan'!$B$2,COUNTIFS('Data Permainan'!$B$6:$B$6,"&gt;="&amp;'Dashboard'!$A$5,'Data Permainan'!$B$6:$B$6,"&lt;"&amp;('Dashboard'!$E$5+1),'Data Permainan'!$C$6:$C$6,IF('Dashboard'!$I$5="Semua","*",'Dashboard'!$I$5),'Data Permainan'!$J$6:$J$6,A19,'Data Permainan'!$C$6:$C$6,J$18),0)</x:f>
        <x:v>0</x:v>
      </x:c>
      <x:c r="K19" s="3"/>
      <x:c r="L19" s="3"/>
    </x:row>
    <x:row r="20" ht="23" customHeight="1">
      <x:c r="A20" s="3" t="n">
        <x:v>1</x:v>
      </x:c>
      <x:c r="B20" s="3"/>
      <x:c r="C20" s="3"/>
      <x:c r="D20" s="3"/>
      <x:c r="E20" s="3"/>
      <x:c r="F20" s="3"/>
      <x:c r="G20" s="3"/>
      <x:c r="H20" s="3" t="str">
        <x:v>01:00</x:v>
      </x:c>
      <x:c r="I20" s="3" t="n">
        <x:f>IF('Ringkasan'!$B$2,COUNTIFS('Data Permainan'!$B$6:$B$6,"&gt;="&amp;'Dashboard'!$A$5,'Data Permainan'!$B$6:$B$6,"&lt;"&amp;('Dashboard'!$E$5+1),'Data Permainan'!$C$6:$C$6,IF('Dashboard'!$I$5="Semua","*",'Dashboard'!$I$5),'Data Permainan'!$J$6:$J$6,A20,'Data Permainan'!$C$6:$C$6,I$18),0)</x:f>
        <x:v>0</x:v>
      </x:c>
      <x:c r="J20" s="3" t="n">
        <x:f>IF('Ringkasan'!$B$2,COUNTIFS('Data Permainan'!$B$6:$B$6,"&gt;="&amp;'Dashboard'!$A$5,'Data Permainan'!$B$6:$B$6,"&lt;"&amp;('Dashboard'!$E$5+1),'Data Permainan'!$C$6:$C$6,IF('Dashboard'!$I$5="Semua","*",'Dashboard'!$I$5),'Data Permainan'!$J$6:$J$6,A20,'Data Permainan'!$C$6:$C$6,J$18),0)</x:f>
        <x:v>0</x:v>
      </x:c>
      <x:c r="K20" s="3"/>
      <x:c r="L20" s="3"/>
    </x:row>
    <x:row r="21" ht="23" customHeight="1">
      <x:c r="A21" s="3" t="n">
        <x:v>2</x:v>
      </x:c>
      <x:c r="B21" s="3"/>
      <x:c r="C21" s="3"/>
      <x:c r="D21" s="3"/>
      <x:c r="E21" s="3"/>
      <x:c r="F21" s="3"/>
      <x:c r="G21" s="3"/>
      <x:c r="H21" s="3" t="str">
        <x:v>02:00</x:v>
      </x:c>
      <x:c r="I21" s="3" t="n">
        <x:f>IF('Ringkasan'!$B$2,COUNTIFS('Data Permainan'!$B$6:$B$6,"&gt;="&amp;'Dashboard'!$A$5,'Data Permainan'!$B$6:$B$6,"&lt;"&amp;('Dashboard'!$E$5+1),'Data Permainan'!$C$6:$C$6,IF('Dashboard'!$I$5="Semua","*",'Dashboard'!$I$5),'Data Permainan'!$J$6:$J$6,A21,'Data Permainan'!$C$6:$C$6,I$18),0)</x:f>
        <x:v>0</x:v>
      </x:c>
      <x:c r="J21" s="3" t="n">
        <x:f>IF('Ringkasan'!$B$2,COUNTIFS('Data Permainan'!$B$6:$B$6,"&gt;="&amp;'Dashboard'!$A$5,'Data Permainan'!$B$6:$B$6,"&lt;"&amp;('Dashboard'!$E$5+1),'Data Permainan'!$C$6:$C$6,IF('Dashboard'!$I$5="Semua","*",'Dashboard'!$I$5),'Data Permainan'!$J$6:$J$6,A21,'Data Permainan'!$C$6:$C$6,J$18),0)</x:f>
        <x:v>0</x:v>
      </x:c>
      <x:c r="K21" s="3"/>
      <x:c r="L21" s="3"/>
    </x:row>
    <x:row r="22" ht="23" customHeight="1">
      <x:c r="A22" s="3" t="n">
        <x:v>3</x:v>
      </x:c>
      <x:c r="B22" s="3"/>
      <x:c r="C22" s="3"/>
      <x:c r="D22" s="3"/>
      <x:c r="E22" s="3"/>
      <x:c r="F22" s="3"/>
      <x:c r="G22" s="3"/>
      <x:c r="H22" s="3" t="str">
        <x:v>03:00</x:v>
      </x:c>
      <x:c r="I22" s="3" t="n">
        <x:f>IF('Ringkasan'!$B$2,COUNTIFS('Data Permainan'!$B$6:$B$6,"&gt;="&amp;'Dashboard'!$A$5,'Data Permainan'!$B$6:$B$6,"&lt;"&amp;('Dashboard'!$E$5+1),'Data Permainan'!$C$6:$C$6,IF('Dashboard'!$I$5="Semua","*",'Dashboard'!$I$5),'Data Permainan'!$J$6:$J$6,A22,'Data Permainan'!$C$6:$C$6,I$18),0)</x:f>
        <x:v>0</x:v>
      </x:c>
      <x:c r="J22" s="3" t="n">
        <x:f>IF('Ringkasan'!$B$2,COUNTIFS('Data Permainan'!$B$6:$B$6,"&gt;="&amp;'Dashboard'!$A$5,'Data Permainan'!$B$6:$B$6,"&lt;"&amp;('Dashboard'!$E$5+1),'Data Permainan'!$C$6:$C$6,IF('Dashboard'!$I$5="Semua","*",'Dashboard'!$I$5),'Data Permainan'!$J$6:$J$6,A22,'Data Permainan'!$C$6:$C$6,J$18),0)</x:f>
        <x:v>0</x:v>
      </x:c>
      <x:c r="K22" s="3"/>
      <x:c r="L22" s="3"/>
    </x:row>
    <x:row r="23" ht="23" customHeight="1">
      <x:c r="A23" s="3" t="n">
        <x:v>4</x:v>
      </x:c>
      <x:c r="B23" s="3"/>
      <x:c r="C23" s="3"/>
      <x:c r="D23" s="3"/>
      <x:c r="E23" s="3"/>
      <x:c r="F23" s="3"/>
      <x:c r="G23" s="3"/>
      <x:c r="H23" s="3" t="str">
        <x:v>04:00</x:v>
      </x:c>
      <x:c r="I23" s="3" t="n">
        <x:f>IF('Ringkasan'!$B$2,COUNTIFS('Data Permainan'!$B$6:$B$6,"&gt;="&amp;'Dashboard'!$A$5,'Data Permainan'!$B$6:$B$6,"&lt;"&amp;('Dashboard'!$E$5+1),'Data Permainan'!$C$6:$C$6,IF('Dashboard'!$I$5="Semua","*",'Dashboard'!$I$5),'Data Permainan'!$J$6:$J$6,A23,'Data Permainan'!$C$6:$C$6,I$18),0)</x:f>
        <x:v>0</x:v>
      </x:c>
      <x:c r="J23" s="3" t="n">
        <x:f>IF('Ringkasan'!$B$2,COUNTIFS('Data Permainan'!$B$6:$B$6,"&gt;="&amp;'Dashboard'!$A$5,'Data Permainan'!$B$6:$B$6,"&lt;"&amp;('Dashboard'!$E$5+1),'Data Permainan'!$C$6:$C$6,IF('Dashboard'!$I$5="Semua","*",'Dashboard'!$I$5),'Data Permainan'!$J$6:$J$6,A23,'Data Permainan'!$C$6:$C$6,J$18),0)</x:f>
        <x:v>0</x:v>
      </x:c>
      <x:c r="K23" s="3"/>
      <x:c r="L23" s="3"/>
    </x:row>
    <x:row r="24" ht="23" customHeight="1">
      <x:c r="A24" s="3" t="n">
        <x:v>5</x:v>
      </x:c>
      <x:c r="B24" s="3"/>
      <x:c r="C24" s="3"/>
      <x:c r="D24" s="3"/>
      <x:c r="E24" s="3"/>
      <x:c r="F24" s="3"/>
      <x:c r="G24" s="3"/>
      <x:c r="H24" s="3" t="str">
        <x:v>05:00</x:v>
      </x:c>
      <x:c r="I24" s="3" t="n">
        <x:f>IF('Ringkasan'!$B$2,COUNTIFS('Data Permainan'!$B$6:$B$6,"&gt;="&amp;'Dashboard'!$A$5,'Data Permainan'!$B$6:$B$6,"&lt;"&amp;('Dashboard'!$E$5+1),'Data Permainan'!$C$6:$C$6,IF('Dashboard'!$I$5="Semua","*",'Dashboard'!$I$5),'Data Permainan'!$J$6:$J$6,A24,'Data Permainan'!$C$6:$C$6,I$18),0)</x:f>
        <x:v>0</x:v>
      </x:c>
      <x:c r="J24" s="3" t="n">
        <x:f>IF('Ringkasan'!$B$2,COUNTIFS('Data Permainan'!$B$6:$B$6,"&gt;="&amp;'Dashboard'!$A$5,'Data Permainan'!$B$6:$B$6,"&lt;"&amp;('Dashboard'!$E$5+1),'Data Permainan'!$C$6:$C$6,IF('Dashboard'!$I$5="Semua","*",'Dashboard'!$I$5),'Data Permainan'!$J$6:$J$6,A24,'Data Permainan'!$C$6:$C$6,J$18),0)</x:f>
        <x:v>0</x:v>
      </x:c>
      <x:c r="K24" s="3"/>
      <x:c r="L24" s="3"/>
    </x:row>
    <x:row r="25" ht="23" customHeight="1">
      <x:c r="A25" s="3" t="n">
        <x:v>6</x:v>
      </x:c>
      <x:c r="B25" s="3"/>
      <x:c r="C25" s="3"/>
      <x:c r="D25" s="3"/>
      <x:c r="E25" s="3"/>
      <x:c r="F25" s="3"/>
      <x:c r="G25" s="3"/>
      <x:c r="H25" s="3" t="str">
        <x:v>06:00</x:v>
      </x:c>
      <x:c r="I25" s="3" t="n">
        <x:f>IF('Ringkasan'!$B$2,COUNTIFS('Data Permainan'!$B$6:$B$6,"&gt;="&amp;'Dashboard'!$A$5,'Data Permainan'!$B$6:$B$6,"&lt;"&amp;('Dashboard'!$E$5+1),'Data Permainan'!$C$6:$C$6,IF('Dashboard'!$I$5="Semua","*",'Dashboard'!$I$5),'Data Permainan'!$J$6:$J$6,A25,'Data Permainan'!$C$6:$C$6,I$18),0)</x:f>
        <x:v>0</x:v>
      </x:c>
      <x:c r="J25" s="3" t="n">
        <x:f>IF('Ringkasan'!$B$2,COUNTIFS('Data Permainan'!$B$6:$B$6,"&gt;="&amp;'Dashboard'!$A$5,'Data Permainan'!$B$6:$B$6,"&lt;"&amp;('Dashboard'!$E$5+1),'Data Permainan'!$C$6:$C$6,IF('Dashboard'!$I$5="Semua","*",'Dashboard'!$I$5),'Data Permainan'!$J$6:$J$6,A25,'Data Permainan'!$C$6:$C$6,J$18),0)</x:f>
        <x:v>0</x:v>
      </x:c>
      <x:c r="K25" s="3"/>
      <x:c r="L25" s="3"/>
    </x:row>
    <x:row r="26" ht="23" customHeight="1">
      <x:c r="A26" s="3" t="n">
        <x:v>7</x:v>
      </x:c>
      <x:c r="B26" s="3"/>
      <x:c r="C26" s="3"/>
      <x:c r="D26" s="3"/>
      <x:c r="E26" s="3"/>
      <x:c r="F26" s="3"/>
      <x:c r="G26" s="3"/>
      <x:c r="H26" s="3" t="str">
        <x:v>07:00</x:v>
      </x:c>
      <x:c r="I26" s="3" t="n">
        <x:f>IF('Ringkasan'!$B$2,COUNTIFS('Data Permainan'!$B$6:$B$6,"&gt;="&amp;'Dashboard'!$A$5,'Data Permainan'!$B$6:$B$6,"&lt;"&amp;('Dashboard'!$E$5+1),'Data Permainan'!$C$6:$C$6,IF('Dashboard'!$I$5="Semua","*",'Dashboard'!$I$5),'Data Permainan'!$J$6:$J$6,A26,'Data Permainan'!$C$6:$C$6,I$18),0)</x:f>
        <x:v>0</x:v>
      </x:c>
      <x:c r="J26" s="3" t="n">
        <x:f>IF('Ringkasan'!$B$2,COUNTIFS('Data Permainan'!$B$6:$B$6,"&gt;="&amp;'Dashboard'!$A$5,'Data Permainan'!$B$6:$B$6,"&lt;"&amp;('Dashboard'!$E$5+1),'Data Permainan'!$C$6:$C$6,IF('Dashboard'!$I$5="Semua","*",'Dashboard'!$I$5),'Data Permainan'!$J$6:$J$6,A26,'Data Permainan'!$C$6:$C$6,J$18),0)</x:f>
        <x:v>0</x:v>
      </x:c>
      <x:c r="K26" s="3"/>
      <x:c r="L26" s="3"/>
    </x:row>
    <x:row r="27" ht="23" customHeight="1">
      <x:c r="A27" s="3" t="n">
        <x:v>8</x:v>
      </x:c>
      <x:c r="B27" s="3"/>
      <x:c r="C27" s="3"/>
      <x:c r="D27" s="3"/>
      <x:c r="E27" s="3"/>
      <x:c r="F27" s="3"/>
      <x:c r="G27" s="3"/>
      <x:c r="H27" s="3" t="str">
        <x:v>08:00</x:v>
      </x:c>
      <x:c r="I27" s="3" t="n">
        <x:f>IF('Ringkasan'!$B$2,COUNTIFS('Data Permainan'!$B$6:$B$6,"&gt;="&amp;'Dashboard'!$A$5,'Data Permainan'!$B$6:$B$6,"&lt;"&amp;('Dashboard'!$E$5+1),'Data Permainan'!$C$6:$C$6,IF('Dashboard'!$I$5="Semua","*",'Dashboard'!$I$5),'Data Permainan'!$J$6:$J$6,A27,'Data Permainan'!$C$6:$C$6,I$18),0)</x:f>
        <x:v>0</x:v>
      </x:c>
      <x:c r="J27" s="3" t="n">
        <x:f>IF('Ringkasan'!$B$2,COUNTIFS('Data Permainan'!$B$6:$B$6,"&gt;="&amp;'Dashboard'!$A$5,'Data Permainan'!$B$6:$B$6,"&lt;"&amp;('Dashboard'!$E$5+1),'Data Permainan'!$C$6:$C$6,IF('Dashboard'!$I$5="Semua","*",'Dashboard'!$I$5),'Data Permainan'!$J$6:$J$6,A27,'Data Permainan'!$C$6:$C$6,J$18),0)</x:f>
        <x:v>0</x:v>
      </x:c>
      <x:c r="K27" s="3"/>
      <x:c r="L27" s="3"/>
    </x:row>
    <x:row r="28" ht="23" customHeight="1">
      <x:c r="A28" s="3" t="n">
        <x:v>9</x:v>
      </x:c>
      <x:c r="B28" s="3"/>
      <x:c r="C28" s="3"/>
      <x:c r="D28" s="3"/>
      <x:c r="E28" s="3"/>
      <x:c r="F28" s="3"/>
      <x:c r="G28" s="3"/>
      <x:c r="H28" s="3" t="str">
        <x:v>09:00</x:v>
      </x:c>
      <x:c r="I28" s="3" t="n">
        <x:f>IF('Ringkasan'!$B$2,COUNTIFS('Data Permainan'!$B$6:$B$6,"&gt;="&amp;'Dashboard'!$A$5,'Data Permainan'!$B$6:$B$6,"&lt;"&amp;('Dashboard'!$E$5+1),'Data Permainan'!$C$6:$C$6,IF('Dashboard'!$I$5="Semua","*",'Dashboard'!$I$5),'Data Permainan'!$J$6:$J$6,A28,'Data Permainan'!$C$6:$C$6,I$18),0)</x:f>
        <x:v>0</x:v>
      </x:c>
      <x:c r="J28" s="3" t="n">
        <x:f>IF('Ringkasan'!$B$2,COUNTIFS('Data Permainan'!$B$6:$B$6,"&gt;="&amp;'Dashboard'!$A$5,'Data Permainan'!$B$6:$B$6,"&lt;"&amp;('Dashboard'!$E$5+1),'Data Permainan'!$C$6:$C$6,IF('Dashboard'!$I$5="Semua","*",'Dashboard'!$I$5),'Data Permainan'!$J$6:$J$6,A28,'Data Permainan'!$C$6:$C$6,J$18),0)</x:f>
        <x:v>0</x:v>
      </x:c>
      <x:c r="K28" s="3"/>
      <x:c r="L28" s="3"/>
    </x:row>
    <x:row r="29" ht="23" customHeight="1">
      <x:c r="A29" s="3" t="n">
        <x:v>10</x:v>
      </x:c>
      <x:c r="B29" s="3"/>
      <x:c r="C29" s="3"/>
      <x:c r="D29" s="3"/>
      <x:c r="E29" s="3"/>
      <x:c r="F29" s="3"/>
      <x:c r="G29" s="3"/>
      <x:c r="H29" s="3" t="str">
        <x:v>10:00</x:v>
      </x:c>
      <x:c r="I29" s="3" t="n">
        <x:f>IF('Ringkasan'!$B$2,COUNTIFS('Data Permainan'!$B$6:$B$6,"&gt;="&amp;'Dashboard'!$A$5,'Data Permainan'!$B$6:$B$6,"&lt;"&amp;('Dashboard'!$E$5+1),'Data Permainan'!$C$6:$C$6,IF('Dashboard'!$I$5="Semua","*",'Dashboard'!$I$5),'Data Permainan'!$J$6:$J$6,A29,'Data Permainan'!$C$6:$C$6,I$18),0)</x:f>
        <x:v>0</x:v>
      </x:c>
      <x:c r="J29" s="3" t="n">
        <x:f>IF('Ringkasan'!$B$2,COUNTIFS('Data Permainan'!$B$6:$B$6,"&gt;="&amp;'Dashboard'!$A$5,'Data Permainan'!$B$6:$B$6,"&lt;"&amp;('Dashboard'!$E$5+1),'Data Permainan'!$C$6:$C$6,IF('Dashboard'!$I$5="Semua","*",'Dashboard'!$I$5),'Data Permainan'!$J$6:$J$6,A29,'Data Permainan'!$C$6:$C$6,J$18),0)</x:f>
        <x:v>0</x:v>
      </x:c>
      <x:c r="K29" s="3"/>
      <x:c r="L29" s="3"/>
    </x:row>
    <x:row r="30" ht="23" customHeight="1">
      <x:c r="A30" s="3" t="n">
        <x:v>11</x:v>
      </x:c>
      <x:c r="B30" s="3"/>
      <x:c r="C30" s="3"/>
      <x:c r="D30" s="3"/>
      <x:c r="E30" s="3"/>
      <x:c r="F30" s="3"/>
      <x:c r="G30" s="3"/>
      <x:c r="H30" s="3" t="str">
        <x:v>11:00</x:v>
      </x:c>
      <x:c r="I30" s="3" t="n">
        <x:f>IF('Ringkasan'!$B$2,COUNTIFS('Data Permainan'!$B$6:$B$6,"&gt;="&amp;'Dashboard'!$A$5,'Data Permainan'!$B$6:$B$6,"&lt;"&amp;('Dashboard'!$E$5+1),'Data Permainan'!$C$6:$C$6,IF('Dashboard'!$I$5="Semua","*",'Dashboard'!$I$5),'Data Permainan'!$J$6:$J$6,A30,'Data Permainan'!$C$6:$C$6,I$18),0)</x:f>
        <x:v>0</x:v>
      </x:c>
      <x:c r="J30" s="3" t="n">
        <x:f>IF('Ringkasan'!$B$2,COUNTIFS('Data Permainan'!$B$6:$B$6,"&gt;="&amp;'Dashboard'!$A$5,'Data Permainan'!$B$6:$B$6,"&lt;"&amp;('Dashboard'!$E$5+1),'Data Permainan'!$C$6:$C$6,IF('Dashboard'!$I$5="Semua","*",'Dashboard'!$I$5),'Data Permainan'!$J$6:$J$6,A30,'Data Permainan'!$C$6:$C$6,J$18),0)</x:f>
        <x:v>0</x:v>
      </x:c>
      <x:c r="K30" s="3"/>
      <x:c r="L30" s="3"/>
    </x:row>
    <x:row r="31" ht="23" customHeight="1">
      <x:c r="A31" s="3" t="n">
        <x:v>12</x:v>
      </x:c>
      <x:c r="B31" s="3"/>
      <x:c r="C31" s="3"/>
      <x:c r="D31" s="3"/>
      <x:c r="E31" s="3"/>
      <x:c r="F31" s="3"/>
      <x:c r="G31" s="3"/>
      <x:c r="H31" s="3" t="str">
        <x:v>12:00</x:v>
      </x:c>
      <x:c r="I31" s="3" t="n">
        <x:f>IF('Ringkasan'!$B$2,COUNTIFS('Data Permainan'!$B$6:$B$6,"&gt;="&amp;'Dashboard'!$A$5,'Data Permainan'!$B$6:$B$6,"&lt;"&amp;('Dashboard'!$E$5+1),'Data Permainan'!$C$6:$C$6,IF('Dashboard'!$I$5="Semua","*",'Dashboard'!$I$5),'Data Permainan'!$J$6:$J$6,A31,'Data Permainan'!$C$6:$C$6,I$18),0)</x:f>
        <x:v>0</x:v>
      </x:c>
      <x:c r="J31" s="3" t="n">
        <x:f>IF('Ringkasan'!$B$2,COUNTIFS('Data Permainan'!$B$6:$B$6,"&gt;="&amp;'Dashboard'!$A$5,'Data Permainan'!$B$6:$B$6,"&lt;"&amp;('Dashboard'!$E$5+1),'Data Permainan'!$C$6:$C$6,IF('Dashboard'!$I$5="Semua","*",'Dashboard'!$I$5),'Data Permainan'!$J$6:$J$6,A31,'Data Permainan'!$C$6:$C$6,J$18),0)</x:f>
        <x:v>0</x:v>
      </x:c>
      <x:c r="K31" s="3"/>
      <x:c r="L31" s="3"/>
    </x:row>
    <x:row r="32" ht="23" customHeight="1">
      <x:c r="A32" s="3" t="n">
        <x:v>13</x:v>
      </x:c>
      <x:c r="B32" s="3"/>
      <x:c r="C32" s="3"/>
      <x:c r="D32" s="3"/>
      <x:c r="E32" s="3"/>
      <x:c r="F32" s="3"/>
      <x:c r="G32" s="3"/>
      <x:c r="H32" s="3" t="str">
        <x:v>13:00</x:v>
      </x:c>
      <x:c r="I32" s="3" t="n">
        <x:f>IF('Ringkasan'!$B$2,COUNTIFS('Data Permainan'!$B$6:$B$6,"&gt;="&amp;'Dashboard'!$A$5,'Data Permainan'!$B$6:$B$6,"&lt;"&amp;('Dashboard'!$E$5+1),'Data Permainan'!$C$6:$C$6,IF('Dashboard'!$I$5="Semua","*",'Dashboard'!$I$5),'Data Permainan'!$J$6:$J$6,A32,'Data Permainan'!$C$6:$C$6,I$18),0)</x:f>
        <x:v>0</x:v>
      </x:c>
      <x:c r="J32" s="3" t="n">
        <x:f>IF('Ringkasan'!$B$2,COUNTIFS('Data Permainan'!$B$6:$B$6,"&gt;="&amp;'Dashboard'!$A$5,'Data Permainan'!$B$6:$B$6,"&lt;"&amp;('Dashboard'!$E$5+1),'Data Permainan'!$C$6:$C$6,IF('Dashboard'!$I$5="Semua","*",'Dashboard'!$I$5),'Data Permainan'!$J$6:$J$6,A32,'Data Permainan'!$C$6:$C$6,J$18),0)</x:f>
        <x:v>0</x:v>
      </x:c>
      <x:c r="K32" s="3"/>
      <x:c r="L32" s="3"/>
    </x:row>
    <x:row r="33" ht="23" customHeight="1">
      <x:c r="A33" s="3" t="n">
        <x:v>14</x:v>
      </x:c>
      <x:c r="B33" s="3"/>
      <x:c r="C33" s="3"/>
      <x:c r="D33" s="3"/>
      <x:c r="E33" s="3"/>
      <x:c r="F33" s="3"/>
      <x:c r="G33" s="3"/>
      <x:c r="H33" s="3" t="str">
        <x:v>14:00</x:v>
      </x:c>
      <x:c r="I33" s="3" t="n">
        <x:f>IF('Ringkasan'!$B$2,COUNTIFS('Data Permainan'!$B$6:$B$6,"&gt;="&amp;'Dashboard'!$A$5,'Data Permainan'!$B$6:$B$6,"&lt;"&amp;('Dashboard'!$E$5+1),'Data Permainan'!$C$6:$C$6,IF('Dashboard'!$I$5="Semua","*",'Dashboard'!$I$5),'Data Permainan'!$J$6:$J$6,A33,'Data Permainan'!$C$6:$C$6,I$18),0)</x:f>
        <x:v>0</x:v>
      </x:c>
      <x:c r="J33" s="3" t="n">
        <x:f>IF('Ringkasan'!$B$2,COUNTIFS('Data Permainan'!$B$6:$B$6,"&gt;="&amp;'Dashboard'!$A$5,'Data Permainan'!$B$6:$B$6,"&lt;"&amp;('Dashboard'!$E$5+1),'Data Permainan'!$C$6:$C$6,IF('Dashboard'!$I$5="Semua","*",'Dashboard'!$I$5),'Data Permainan'!$J$6:$J$6,A33,'Data Permainan'!$C$6:$C$6,J$18),0)</x:f>
        <x:v>0</x:v>
      </x:c>
      <x:c r="K33" s="3"/>
      <x:c r="L33" s="3"/>
    </x:row>
    <x:row r="34" ht="23" customHeight="1">
      <x:c r="A34" s="3" t="n">
        <x:v>15</x:v>
      </x:c>
      <x:c r="B34" s="3"/>
      <x:c r="C34" s="3"/>
      <x:c r="D34" s="3"/>
      <x:c r="E34" s="3"/>
      <x:c r="F34" s="3"/>
      <x:c r="G34" s="3"/>
      <x:c r="H34" s="3" t="str">
        <x:v>15:00</x:v>
      </x:c>
      <x:c r="I34" s="3" t="n">
        <x:f>IF('Ringkasan'!$B$2,COUNTIFS('Data Permainan'!$B$6:$B$6,"&gt;="&amp;'Dashboard'!$A$5,'Data Permainan'!$B$6:$B$6,"&lt;"&amp;('Dashboard'!$E$5+1),'Data Permainan'!$C$6:$C$6,IF('Dashboard'!$I$5="Semua","*",'Dashboard'!$I$5),'Data Permainan'!$J$6:$J$6,A34,'Data Permainan'!$C$6:$C$6,I$18),0)</x:f>
        <x:v>0</x:v>
      </x:c>
      <x:c r="J34" s="3" t="n">
        <x:f>IF('Ringkasan'!$B$2,COUNTIFS('Data Permainan'!$B$6:$B$6,"&gt;="&amp;'Dashboard'!$A$5,'Data Permainan'!$B$6:$B$6,"&lt;"&amp;('Dashboard'!$E$5+1),'Data Permainan'!$C$6:$C$6,IF('Dashboard'!$I$5="Semua","*",'Dashboard'!$I$5),'Data Permainan'!$J$6:$J$6,A34,'Data Permainan'!$C$6:$C$6,J$18),0)</x:f>
        <x:v>0</x:v>
      </x:c>
      <x:c r="K34" s="3"/>
      <x:c r="L34" s="3"/>
    </x:row>
    <x:row r="35" ht="23" customHeight="1">
      <x:c r="A35" s="3" t="n">
        <x:v>16</x:v>
      </x:c>
      <x:c r="B35" s="3"/>
      <x:c r="C35" s="3"/>
      <x:c r="D35" s="3"/>
      <x:c r="E35" s="3"/>
      <x:c r="F35" s="3"/>
      <x:c r="G35" s="3"/>
      <x:c r="H35" s="3" t="str">
        <x:v>16:00</x:v>
      </x:c>
      <x:c r="I35" s="3" t="n">
        <x:f>IF('Ringkasan'!$B$2,COUNTIFS('Data Permainan'!$B$6:$B$6,"&gt;="&amp;'Dashboard'!$A$5,'Data Permainan'!$B$6:$B$6,"&lt;"&amp;('Dashboard'!$E$5+1),'Data Permainan'!$C$6:$C$6,IF('Dashboard'!$I$5="Semua","*",'Dashboard'!$I$5),'Data Permainan'!$J$6:$J$6,A35,'Data Permainan'!$C$6:$C$6,I$18),0)</x:f>
        <x:v>0</x:v>
      </x:c>
      <x:c r="J35" s="3" t="n">
        <x:f>IF('Ringkasan'!$B$2,COUNTIFS('Data Permainan'!$B$6:$B$6,"&gt;="&amp;'Dashboard'!$A$5,'Data Permainan'!$B$6:$B$6,"&lt;"&amp;('Dashboard'!$E$5+1),'Data Permainan'!$C$6:$C$6,IF('Dashboard'!$I$5="Semua","*",'Dashboard'!$I$5),'Data Permainan'!$J$6:$J$6,A35,'Data Permainan'!$C$6:$C$6,J$18),0)</x:f>
        <x:v>0</x:v>
      </x:c>
      <x:c r="K35" s="3"/>
      <x:c r="L35" s="3"/>
    </x:row>
    <x:row r="36" ht="23" customHeight="1">
      <x:c r="A36" s="3" t="n">
        <x:v>17</x:v>
      </x:c>
      <x:c r="B36" s="3"/>
      <x:c r="C36" s="3"/>
      <x:c r="D36" s="3"/>
      <x:c r="E36" s="3"/>
      <x:c r="F36" s="3"/>
      <x:c r="G36" s="3"/>
      <x:c r="H36" s="3" t="str">
        <x:v>17:00</x:v>
      </x:c>
      <x:c r="I36" s="3" t="n">
        <x:f>IF('Ringkasan'!$B$2,COUNTIFS('Data Permainan'!$B$6:$B$6,"&gt;="&amp;'Dashboard'!$A$5,'Data Permainan'!$B$6:$B$6,"&lt;"&amp;('Dashboard'!$E$5+1),'Data Permainan'!$C$6:$C$6,IF('Dashboard'!$I$5="Semua","*",'Dashboard'!$I$5),'Data Permainan'!$J$6:$J$6,A36,'Data Permainan'!$C$6:$C$6,I$18),0)</x:f>
        <x:v>0</x:v>
      </x:c>
      <x:c r="J36" s="3" t="n">
        <x:f>IF('Ringkasan'!$B$2,COUNTIFS('Data Permainan'!$B$6:$B$6,"&gt;="&amp;'Dashboard'!$A$5,'Data Permainan'!$B$6:$B$6,"&lt;"&amp;('Dashboard'!$E$5+1),'Data Permainan'!$C$6:$C$6,IF('Dashboard'!$I$5="Semua","*",'Dashboard'!$I$5),'Data Permainan'!$J$6:$J$6,A36,'Data Permainan'!$C$6:$C$6,J$18),0)</x:f>
        <x:v>0</x:v>
      </x:c>
      <x:c r="K36" s="3"/>
      <x:c r="L36" s="3"/>
    </x:row>
    <x:row r="37" ht="23" customHeight="1">
      <x:c r="A37" s="3" t="n">
        <x:v>18</x:v>
      </x:c>
      <x:c r="B37" s="3"/>
      <x:c r="C37" s="3"/>
      <x:c r="D37" s="3"/>
      <x:c r="E37" s="3"/>
      <x:c r="F37" s="3"/>
      <x:c r="G37" s="3"/>
      <x:c r="H37" s="3" t="str">
        <x:v>18:00</x:v>
      </x:c>
      <x:c r="I37" s="3" t="n">
        <x:f>IF('Ringkasan'!$B$2,COUNTIFS('Data Permainan'!$B$6:$B$6,"&gt;="&amp;'Dashboard'!$A$5,'Data Permainan'!$B$6:$B$6,"&lt;"&amp;('Dashboard'!$E$5+1),'Data Permainan'!$C$6:$C$6,IF('Dashboard'!$I$5="Semua","*",'Dashboard'!$I$5),'Data Permainan'!$J$6:$J$6,A37,'Data Permainan'!$C$6:$C$6,I$18),0)</x:f>
        <x:v>0</x:v>
      </x:c>
      <x:c r="J37" s="3" t="n">
        <x:f>IF('Ringkasan'!$B$2,COUNTIFS('Data Permainan'!$B$6:$B$6,"&gt;="&amp;'Dashboard'!$A$5,'Data Permainan'!$B$6:$B$6,"&lt;"&amp;('Dashboard'!$E$5+1),'Data Permainan'!$C$6:$C$6,IF('Dashboard'!$I$5="Semua","*",'Dashboard'!$I$5),'Data Permainan'!$J$6:$J$6,A37,'Data Permainan'!$C$6:$C$6,J$18),0)</x:f>
        <x:v>0</x:v>
      </x:c>
      <x:c r="K37" s="3"/>
      <x:c r="L37" s="3"/>
    </x:row>
    <x:row r="38" ht="23" customHeight="1">
      <x:c r="A38" s="3" t="n">
        <x:v>19</x:v>
      </x:c>
      <x:c r="B38" s="3"/>
      <x:c r="C38" s="3"/>
      <x:c r="D38" s="3"/>
      <x:c r="E38" s="3"/>
      <x:c r="F38" s="3"/>
      <x:c r="G38" s="3"/>
      <x:c r="H38" s="3" t="str">
        <x:v>19:00</x:v>
      </x:c>
      <x:c r="I38" s="3" t="n">
        <x:f>IF('Ringkasan'!$B$2,COUNTIFS('Data Permainan'!$B$6:$B$6,"&gt;="&amp;'Dashboard'!$A$5,'Data Permainan'!$B$6:$B$6,"&lt;"&amp;('Dashboard'!$E$5+1),'Data Permainan'!$C$6:$C$6,IF('Dashboard'!$I$5="Semua","*",'Dashboard'!$I$5),'Data Permainan'!$J$6:$J$6,A38,'Data Permainan'!$C$6:$C$6,I$18),0)</x:f>
        <x:v>0</x:v>
      </x:c>
      <x:c r="J38" s="3" t="n">
        <x:f>IF('Ringkasan'!$B$2,COUNTIFS('Data Permainan'!$B$6:$B$6,"&gt;="&amp;'Dashboard'!$A$5,'Data Permainan'!$B$6:$B$6,"&lt;"&amp;('Dashboard'!$E$5+1),'Data Permainan'!$C$6:$C$6,IF('Dashboard'!$I$5="Semua","*",'Dashboard'!$I$5),'Data Permainan'!$J$6:$J$6,A38,'Data Permainan'!$C$6:$C$6,J$18),0)</x:f>
        <x:v>0</x:v>
      </x:c>
      <x:c r="K38" s="3"/>
      <x:c r="L38" s="3"/>
    </x:row>
    <x:row r="39" ht="23" customHeight="1">
      <x:c r="A39" s="3" t="n">
        <x:v>20</x:v>
      </x:c>
      <x:c r="B39" s="3"/>
      <x:c r="C39" s="3"/>
      <x:c r="D39" s="3"/>
      <x:c r="E39" s="3"/>
      <x:c r="F39" s="3"/>
      <x:c r="G39" s="3"/>
      <x:c r="H39" s="3" t="str">
        <x:v>20:00</x:v>
      </x:c>
      <x:c r="I39" s="3" t="n">
        <x:f>IF('Ringkasan'!$B$2,COUNTIFS('Data Permainan'!$B$6:$B$6,"&gt;="&amp;'Dashboard'!$A$5,'Data Permainan'!$B$6:$B$6,"&lt;"&amp;('Dashboard'!$E$5+1),'Data Permainan'!$C$6:$C$6,IF('Dashboard'!$I$5="Semua","*",'Dashboard'!$I$5),'Data Permainan'!$J$6:$J$6,A39,'Data Permainan'!$C$6:$C$6,I$18),0)</x:f>
        <x:v>0</x:v>
      </x:c>
      <x:c r="J39" s="3" t="n">
        <x:f>IF('Ringkasan'!$B$2,COUNTIFS('Data Permainan'!$B$6:$B$6,"&gt;="&amp;'Dashboard'!$A$5,'Data Permainan'!$B$6:$B$6,"&lt;"&amp;('Dashboard'!$E$5+1),'Data Permainan'!$C$6:$C$6,IF('Dashboard'!$I$5="Semua","*",'Dashboard'!$I$5),'Data Permainan'!$J$6:$J$6,A39,'Data Permainan'!$C$6:$C$6,J$18),0)</x:f>
        <x:v>0</x:v>
      </x:c>
      <x:c r="K39" s="3"/>
      <x:c r="L39" s="3"/>
    </x:row>
    <x:row r="40" ht="23" customHeight="1">
      <x:c r="A40" s="3" t="n">
        <x:v>21</x:v>
      </x:c>
      <x:c r="B40" s="3"/>
      <x:c r="C40" s="3"/>
      <x:c r="D40" s="3"/>
      <x:c r="E40" s="3"/>
      <x:c r="F40" s="3"/>
      <x:c r="G40" s="3"/>
      <x:c r="H40" s="3" t="str">
        <x:v>21:00</x:v>
      </x:c>
      <x:c r="I40" s="3" t="n">
        <x:f>IF('Ringkasan'!$B$2,COUNTIFS('Data Permainan'!$B$6:$B$6,"&gt;="&amp;'Dashboard'!$A$5,'Data Permainan'!$B$6:$B$6,"&lt;"&amp;('Dashboard'!$E$5+1),'Data Permainan'!$C$6:$C$6,IF('Dashboard'!$I$5="Semua","*",'Dashboard'!$I$5),'Data Permainan'!$J$6:$J$6,A40,'Data Permainan'!$C$6:$C$6,I$18),0)</x:f>
        <x:v>0</x:v>
      </x:c>
      <x:c r="J40" s="3" t="n">
        <x:f>IF('Ringkasan'!$B$2,COUNTIFS('Data Permainan'!$B$6:$B$6,"&gt;="&amp;'Dashboard'!$A$5,'Data Permainan'!$B$6:$B$6,"&lt;"&amp;('Dashboard'!$E$5+1),'Data Permainan'!$C$6:$C$6,IF('Dashboard'!$I$5="Semua","*",'Dashboard'!$I$5),'Data Permainan'!$J$6:$J$6,A40,'Data Permainan'!$C$6:$C$6,J$18),0)</x:f>
        <x:v>0</x:v>
      </x:c>
      <x:c r="K40" s="3"/>
      <x:c r="L40" s="3"/>
    </x:row>
    <x:row r="41" ht="23" customHeight="1">
      <x:c r="A41" s="3" t="n">
        <x:v>22</x:v>
      </x:c>
      <x:c r="B41" s="3"/>
      <x:c r="C41" s="3"/>
      <x:c r="D41" s="3"/>
      <x:c r="E41" s="3"/>
      <x:c r="F41" s="3"/>
      <x:c r="G41" s="3"/>
      <x:c r="H41" s="3" t="str">
        <x:v>22:00</x:v>
      </x:c>
      <x:c r="I41" s="3" t="n">
        <x:f>IF('Ringkasan'!$B$2,COUNTIFS('Data Permainan'!$B$6:$B$6,"&gt;="&amp;'Dashboard'!$A$5,'Data Permainan'!$B$6:$B$6,"&lt;"&amp;('Dashboard'!$E$5+1),'Data Permainan'!$C$6:$C$6,IF('Dashboard'!$I$5="Semua","*",'Dashboard'!$I$5),'Data Permainan'!$J$6:$J$6,A41,'Data Permainan'!$C$6:$C$6,I$18),0)</x:f>
        <x:v>0</x:v>
      </x:c>
      <x:c r="J41" s="3" t="n">
        <x:f>IF('Ringkasan'!$B$2,COUNTIFS('Data Permainan'!$B$6:$B$6,"&gt;="&amp;'Dashboard'!$A$5,'Data Permainan'!$B$6:$B$6,"&lt;"&amp;('Dashboard'!$E$5+1),'Data Permainan'!$C$6:$C$6,IF('Dashboard'!$I$5="Semua","*",'Dashboard'!$I$5),'Data Permainan'!$J$6:$J$6,A41,'Data Permainan'!$C$6:$C$6,J$18),0)</x:f>
        <x:v>0</x:v>
      </x:c>
      <x:c r="K41" s="3"/>
      <x:c r="L41" s="3"/>
    </x:row>
    <x:row r="42" ht="23" customHeight="1">
      <x:c r="A42" s="3" t="n">
        <x:v>23</x:v>
      </x:c>
      <x:c r="B42" s="3"/>
      <x:c r="C42" s="3"/>
      <x:c r="D42" s="3"/>
      <x:c r="E42" s="3"/>
      <x:c r="F42" s="3"/>
      <x:c r="G42" s="3"/>
      <x:c r="H42" s="3" t="str">
        <x:v>23:00</x:v>
      </x:c>
      <x:c r="I42" s="3" t="n">
        <x:f>IF('Ringkasan'!$B$2,COUNTIFS('Data Permainan'!$B$6:$B$6,"&gt;="&amp;'Dashboard'!$A$5,'Data Permainan'!$B$6:$B$6,"&lt;"&amp;('Dashboard'!$E$5+1),'Data Permainan'!$C$6:$C$6,IF('Dashboard'!$I$5="Semua","*",'Dashboard'!$I$5),'Data Permainan'!$J$6:$J$6,A42,'Data Permainan'!$C$6:$C$6,I$18),0)</x:f>
        <x:v>0</x:v>
      </x:c>
      <x:c r="J42" s="3" t="n">
        <x:f>IF('Ringkasan'!$B$2,COUNTIFS('Data Permainan'!$B$6:$B$6,"&gt;="&amp;'Dashboard'!$A$5,'Data Permainan'!$B$6:$B$6,"&lt;"&amp;('Dashboard'!$E$5+1),'Data Permainan'!$C$6:$C$6,IF('Dashboard'!$I$5="Semua","*",'Dashboard'!$I$5),'Data Permainan'!$J$6:$J$6,A42,'Data Permainan'!$C$6:$C$6,J$18),0)</x:f>
        <x:v>0</x:v>
      </x:c>
      <x:c r="K42" s="3"/>
      <x:c r="L42" s="3"/>
    </x:row>
    <x:row r="43" ht="23" customHeight="1">
      <x:c r="A43" s="3"/>
      <x:c r="B43" s="3"/>
      <x:c r="C43" s="3"/>
      <x:c r="D43" s="3"/>
      <x:c r="E43" s="3"/>
      <x:c r="F43" s="3"/>
      <x:c r="G43" s="3"/>
      <x:c r="H43" s="3"/>
      <x:c r="I43" s="3"/>
      <x:c r="J43" s="3"/>
      <x:c r="K43" s="3"/>
      <x:c r="L43" s="3"/>
    </x:row>
    <x:row r="44" ht="23" customHeight="1">
      <x:c r="A44" s="3"/>
      <x:c r="B44" s="3"/>
      <x:c r="C44" s="3"/>
      <x:c r="D44" s="3"/>
      <x:c r="E44" s="3"/>
      <x:c r="F44" s="3"/>
      <x:c r="G44" s="3"/>
      <x:c r="H44" s="3"/>
      <x:c r="I44" s="3"/>
      <x:c r="J44" s="3"/>
      <x:c r="K44" s="3"/>
      <x:c r="L44" s="3"/>
    </x:row>
    <x:row r="45" ht="23" customHeight="1">
      <x:c r="A45" s="3"/>
      <x:c r="B45" s="3"/>
      <x:c r="C45" s="3"/>
      <x:c r="D45" s="3"/>
      <x:c r="E45" s="3"/>
      <x:c r="F45" s="3"/>
      <x:c r="G45" s="3"/>
      <x:c r="H45" s="3"/>
      <x:c r="I45" s="3"/>
      <x:c r="J45" s="3"/>
      <x:c r="K45" s="3"/>
      <x:c r="L45" s="3"/>
    </x:row>
    <x:row r="46" ht="23" customHeight="1">
      <x:c r="A46" s="3"/>
      <x:c r="B46" s="3"/>
      <x:c r="C46" s="3"/>
      <x:c r="D46" s="3"/>
      <x:c r="E46" s="3"/>
      <x:c r="F46" s="3"/>
      <x:c r="G46" s="3"/>
      <x:c r="H46" s="3"/>
      <x:c r="I46" s="3"/>
      <x:c r="J46" s="3"/>
      <x:c r="K46" s="3"/>
      <x:c r="L46" s="3"/>
    </x:row>
    <x:row r="47" ht="23" customHeight="1">
      <x:c r="A47" s="3"/>
      <x:c r="B47" s="3"/>
      <x:c r="C47" s="3"/>
      <x:c r="D47" s="3"/>
      <x:c r="E47" s="3"/>
      <x:c r="F47" s="3"/>
      <x:c r="G47" s="3"/>
      <x:c r="H47" s="3"/>
      <x:c r="I47" s="3"/>
      <x:c r="J47" s="3"/>
      <x:c r="K47" s="3"/>
      <x:c r="L47" s="3"/>
    </x:row>
    <x:row r="48" ht="23" customHeight="1">
      <x:c r="A48" s="3"/>
      <x:c r="B48" s="3"/>
      <x:c r="C48" s="3"/>
      <x:c r="D48" s="3"/>
      <x:c r="E48" s="3"/>
      <x:c r="F48" s="3"/>
      <x:c r="G48" s="3"/>
      <x:c r="H48" s="3"/>
      <x:c r="I48" s="3"/>
      <x:c r="J48" s="3"/>
      <x:c r="K48" s="3"/>
      <x:c r="L48" s="3"/>
    </x:row>
    <x:row r="49" ht="23" customHeight="1">
      <x:c r="A49" s="3"/>
      <x:c r="B49" s="3"/>
      <x:c r="C49" s="3"/>
      <x:c r="D49" s="3"/>
      <x:c r="E49" s="3"/>
      <x:c r="F49" s="3"/>
      <x:c r="G49" s="3"/>
      <x:c r="H49" s="3"/>
      <x:c r="I49" s="3"/>
      <x:c r="J49" s="3"/>
      <x:c r="K49" s="3"/>
      <x:c r="L49" s="3"/>
    </x:row>
    <x:row r="50" ht="23" customHeight="1">
      <x:c r="A50" s="3"/>
      <x:c r="B50" s="3"/>
      <x:c r="C50" s="3"/>
      <x:c r="D50" s="3"/>
      <x:c r="E50" s="3"/>
      <x:c r="F50" s="3"/>
      <x:c r="G50" s="3"/>
      <x:c r="H50" s="3"/>
      <x:c r="I50" s="3"/>
      <x:c r="J50" s="3"/>
      <x:c r="K50" s="3"/>
      <x:c r="L50" s="3"/>
    </x:row>
  </x:sheetData>
  <x:mergeCells>
    <x:mergeCell ref="A1:L1"/>
    <x:mergeCell ref="A3:L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30" hidden="0" customWidth="1"/>
  </x:cols>
  <x:sheetData>
    <x:row r="1" ht="48" customHeight="1">
      <x:c r="A1" s="5" t="str">
        <x:v>CARA MEMBACA LAPORAN</x:v>
      </x:c>
      <x:c r="B1" s="5"/>
    </x:row>
    <x:row r="2" ht="23" customHeight="1">
      <x:c r="A2" s="3"/>
      <x:c r="B2" s="3"/>
    </x:row>
    <x:row r="3" ht="38" customHeight="1">
      <x:c r="A3" s="7" t="str">
        <x:v>Snapshot Excel interaktif; perubahan workbook tidak disinkronkan kembali ke aplikasi. Tanpa macro dan tanpa koneksi eksternal.</x:v>
      </x:c>
      <x:c r="B3" s="7"/>
    </x:row>
    <x:row r="4" ht="23" customHeight="1">
      <x:c r="A4" s="3"/>
      <x:c r="B4" s="3"/>
    </x:row>
    <x:row r="5" ht="38" customHeight="1">
      <x:c r="A5" s="9" t="str">
        <x:v>Topik</x:v>
      </x:c>
      <x:c r="B5" s="9" t="str">
        <x:v>Keterangan</x:v>
      </x:c>
    </x:row>
    <x:row r="6" ht="62" customHeight="1">
      <x:c r="A6" s="10" t="str">
        <x:v>Sumber</x:v>
      </x:c>
      <x:c r="B6" s="10" t="str">
        <x:v>Data event lokal Bpedia Spin Studio; hanya riwayat mode permainan. Inventori = sisa saat ekspor.</x:v>
      </x:c>
    </x:row>
    <x:row r="7" ht="62" customHeight="1">
      <x:c r="A7" s="10" t="str">
        <x:v>Acara</x:v>
      </x:c>
      <x:c r="B7" s="10" t="str">
        <x:v>Beauty, with a little luck.</x:v>
      </x:c>
    </x:row>
    <x:row r="8" ht="62" customHeight="1">
      <x:c r="A8" s="10" t="str">
        <x:v>Waktu ekspor (lokal)</x:v>
      </x:c>
      <x:c r="B8" s="39" t="n">
        <x:v>46262.138333333336</x:v>
      </x:c>
    </x:row>
    <x:row r="9" ht="62" customHeight="1">
      <x:c r="A9" s="10" t="str">
        <x:v>Waktu ekspor (ISO)</x:v>
      </x:c>
      <x:c r="B9" s="10" t="str">
        <x:v>'2026-08-27T20:19:12.232Z</x:v>
      </x:c>
    </x:row>
    <x:row r="10" ht="62" customHeight="1">
      <x:c r="A10" s="10" t="str">
        <x:v>Zona waktu</x:v>
      </x:c>
      <x:c r="B10" s="10" t="str">
        <x:v>Asia/Jakarta</x:v>
      </x:c>
    </x:row>
    <x:row r="11" ht="62" customHeight="1">
      <x:c r="A11" s="10" t="str">
        <x:v>Revisi event</x:v>
      </x:c>
      <x:c r="B11" s="10" t="n">
        <x:v>0</x:v>
      </x:c>
    </x:row>
    <x:row r="12" ht="62" customHeight="1">
      <x:c r="A12" s="10" t="str">
        <x:v>Versi aplikasi</x:v>
      </x:c>
      <x:c r="B12" s="10" t="str">
        <x:v>2.3.0</x:v>
      </x:c>
    </x:row>
    <x:row r="13" ht="62" customHeight="1">
      <x:c r="A13" s="10" t="str">
        <x:v>Filter dashboard</x:v>
      </x:c>
      <x:c r="B13" s="10" t="str">
        <x:v>Ubah tanggal mulai, akhir (inklusif), dan pilihan game pada Dashboard. Grafik, KPI dan rekomendasi mengikuti filter; stok tetap snapshot.</x:v>
      </x:c>
    </x:row>
    <x:row r="14" ht="62" customHeight="1">
      <x:c r="A14" s="10" t="str">
        <x:v>Interaktivitas</x:v>
      </x:c>
      <x:c r="B14" s="10" t="str">
        <x:v>Gunakan dropdown game, filter tabel mentah, target permainan/cadangan stok, basis rencana, ambang keputusan, biaya riil, PIC dan status tindak lanjut.</x:v>
      </x:c>
    </x:row>
    <x:row r="15" ht="62" customHeight="1">
      <x:c r="A15" s="10" t="str">
        <x:v>Excel</x:v>
      </x:c>
      <x:c r="B15" s="10" t="str">
        <x:v>Buka .xlsx di Excel/LibreOffice dan izinkan penghitungan otomatis. Tidak perlu mengaktifkan macro atau konten eksternal.</x:v>
      </x:c>
    </x:row>
    <x:row r="16" ht="62" customHeight="1">
      <x:c r="A16" s="10" t="str">
        <x:v>Google Sheets</x:v>
      </x:c>
      <x:c r="B16" s="10" t="str">
        <x:v>Bisa diimpor secara manual. Formula dasar dan data disediakan; tampilan grafik/validasi dapat berubah saat konversi. Tidak ada unggahan otomatis ke cloud.</x:v>
      </x:c>
    </x:row>
    <x:row r="17" ht="62" customHeight="1">
      <x:c r="A17" s="10" t="str">
        <x:v>Definisi penyerahan</x:v>
      </x:c>
      <x:c r="B17" s="10" t="str">
        <x:v>Hadiah dikeluarkan saat hasil dipilih. Status penyerahan adalah status pada waktu ekspor, bukan jumlah klaim yang terjadi pada periode filter.</x:v>
      </x:c>
    </x:row>
    <x:row r="18" ht="62" customHeight="1">
      <x:c r="A18" s="10" t="str">
        <x:v>Stock snapshot</x:v>
      </x:c>
      <x:c r="B18" s="10" t="str">
        <x:v>Menutup hasil tidak mengembalikan stok. Ekspor saat ada hasil tertunda tetap memuat hasil yang sudah tercatat; laporan tidak menutup atau mengklaim hadiah.</x:v>
      </x:c>
    </x:row>
    <x:row r="19" ht="62" customHeight="1">
      <x:c r="A19" s="10" t="str">
        <x:v>Rencana skenario</x:v>
      </x:c>
      <x:c r="B19" s="10" t="str">
        <x:v>Target awal 300 dan buffer 20% adalah asumsi yang bisa diganti, bukan target bisnis yang telah disetujui. Perhitungan linear, bukan simulasi peluang yang berubah saat stok menipis.</x:v>
      </x:c>
    </x:row>
    <x:row r="20" ht="62" customHeight="1">
      <x:c r="A20" s="10" t="str">
        <x:v>Dasar aktual</x:v>
      </x:c>
      <x:c r="B20" s="10" t="str">
        <x:v>Porsi aktual hanya digunakan bila sampel minimum tercapai. Hadiah dihapus/nonaktif tidak dialokasikan. Hadiah lama yang dihapus tetap berada pada Data Permainan.</x:v>
      </x:c>
    </x:row>
    <x:row r="21" ht="62" customHeight="1">
      <x:c r="A21" s="10" t="str">
        <x:v>Biaya</x:v>
      </x:c>
      <x:c r="B21" s="10" t="str">
        <x:v>Isi biaya riil hadiah, termasuk biaya voucher hanya bila diketahui. Sel kosong bukan nol. Total biaya tidak ditampilkan sebagai lengkap bila ada biaya unit yang kosong.</x:v>
      </x:c>
    </x:row>
    <x:row r="22" ht="62" customHeight="1">
      <x:c r="A22" s="10" t="str">
        <x:v>Batas analisis</x:v>
      </x:c>
      <x:c r="B22" s="10" t="str">
        <x:v>Tidak ada data peserta unik, durasi antrean, jumlah instalasi, penjualan, penukaran voucher, margin atau ROI. Jangan menyimpulkannya dari jumlah permainan.</x:v>
      </x:c>
    </x:row>
    <x:row r="23" ht="62" customHeight="1">
      <x:c r="A23" s="10" t="str">
        <x:v>Sumber brand</x:v>
      </x:c>
      <x:c r="B23" s="10" t="str">
        <x:v>https://beautypediaofc.com/</x:v>
      </x:c>
    </x:row>
    <x:row r="24" ht="62" customHeight="1">
      <x:c r="A24" s="10" t="str">
        <x:v>Penerapan keputusan</x:v>
      </x:c>
      <x:c r="B24" s="10" t="str">
        <x:v>Tinjau rekomendasi, tetapkan PIC/tenggat/status, lalu terapkan keputusan yang disetujui di dashboard admin pada acara berikutnya. Workbook tidak mengubah permainan otomatis.</x:v>
      </x:c>
    </x:row>
    <x:row r="25" ht="23" customHeight="1">
      <x:c r="A25" s="3"/>
      <x:c r="B25" s="3"/>
    </x:row>
    <x:row r="26" ht="23" customHeight="1">
      <x:c r="A26" s="3"/>
      <x:c r="B26" s="3"/>
    </x:row>
    <x:row r="27" ht="23" customHeight="1">
      <x:c r="A27" s="3"/>
      <x:c r="B27" s="3"/>
    </x:row>
    <x:row r="28" ht="23" customHeight="1">
      <x:c r="A28" s="3"/>
      <x:c r="B28" s="3"/>
    </x:row>
    <x:row r="29" ht="23" customHeight="1">
      <x:c r="A29" s="3"/>
      <x:c r="B29" s="3"/>
    </x:row>
    <x:row r="30" ht="23" customHeight="1">
      <x:c r="A30" s="3"/>
      <x:c r="B30" s="3"/>
    </x:row>
    <x:row r="31" ht="23" customHeight="1">
      <x:c r="A31" s="3"/>
      <x:c r="B31" s="3"/>
    </x:row>
    <x:row r="32" ht="23" customHeight="1">
      <x:c r="A32" s="3"/>
      <x:c r="B32" s="3"/>
    </x:row>
    <x:row r="33" ht="23" customHeight="1">
      <x:c r="A33" s="3"/>
      <x:c r="B33" s="3"/>
    </x:row>
    <x:row r="34" ht="23" customHeight="1">
      <x:c r="A34" s="3"/>
      <x:c r="B34" s="3"/>
    </x:row>
    <x:row r="35" ht="23" customHeight="1">
      <x:c r="A35" s="3"/>
      <x:c r="B35" s="3"/>
    </x:row>
    <x:row r="36" ht="23" customHeight="1">
      <x:c r="A36" s="3"/>
      <x:c r="B36" s="3"/>
    </x:row>
    <x:row r="37" ht="23" customHeight="1">
      <x:c r="A37" s="3"/>
      <x:c r="B37" s="3"/>
    </x:row>
    <x:row r="38" ht="23" customHeight="1">
      <x:c r="A38" s="3"/>
      <x:c r="B38" s="3"/>
    </x:row>
    <x:row r="39" ht="23" customHeight="1">
      <x:c r="A39" s="3"/>
      <x:c r="B39" s="3"/>
    </x:row>
    <x:row r="40" ht="23" customHeight="1">
      <x:c r="A40" s="3"/>
      <x:c r="B40" s="3"/>
    </x:row>
    <x:row r="41" ht="23" customHeight="1">
      <x:c r="A41" s="3"/>
      <x:c r="B41" s="3"/>
    </x:row>
    <x:row r="42" ht="23" customHeight="1">
      <x:c r="A42" s="3"/>
      <x:c r="B42" s="3"/>
    </x:row>
    <x:row r="43" ht="23" customHeight="1">
      <x:c r="A43" s="3"/>
      <x:c r="B43" s="3"/>
    </x:row>
    <x:row r="44" ht="23" customHeight="1">
      <x:c r="A44" s="3"/>
      <x:c r="B44" s="3"/>
    </x:row>
    <x:row r="45" ht="23" customHeight="1">
      <x:c r="A45" s="3"/>
      <x:c r="B45" s="3"/>
    </x:row>
    <x:row r="46" ht="23" customHeight="1">
      <x:c r="A46" s="3"/>
      <x:c r="B46" s="3"/>
    </x:row>
    <x:row r="47" ht="23" customHeight="1">
      <x:c r="A47" s="3"/>
      <x:c r="B47" s="3"/>
    </x:row>
    <x:row r="48" ht="23" customHeight="1">
      <x:c r="A48" s="3"/>
      <x:c r="B48" s="3"/>
    </x:row>
    <x:row r="49" ht="23" customHeight="1">
      <x:c r="A49" s="3"/>
      <x:c r="B49" s="3"/>
    </x:row>
    <x:row r="50" ht="23" customHeight="1">
      <x:c r="A50" s="3"/>
      <x:c r="B50" s="3"/>
    </x:row>
  </x:sheetData>
  <x:mergeCells>
    <x:mergeCell ref="A1:B1"/>
    <x:mergeCell ref="A3:B3"/>
  </x:mergeCells>
  <x:pageMargins left="0.7" right="0.7" top="0.75" bottom="0.75" header="0.3" footer="0.3"/>
</x:worksheet>
</file>